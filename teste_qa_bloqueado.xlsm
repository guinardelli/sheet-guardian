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E:\50-Biblioteca-Tecnica\30-Planilhas\10-GN ESTRUTURAS\"/>
    </mc:Choice>
  </mc:AlternateContent>
  <xr:revisionPtr revIDLastSave="0" documentId="13_ncr:1_{936F0E1A-F1E2-45CB-AD36-C8EF3F7AACAB}" xr6:coauthVersionLast="47" xr6:coauthVersionMax="47" xr10:uidLastSave="{00000000-0000-0000-0000-000000000000}"/>
  <bookViews>
    <workbookView showSheetTabs="0" xWindow="-120" yWindow="-120" windowWidth="29040" windowHeight="15720" tabRatio="237" xr2:uid="{00000000-000D-0000-FFFF-FFFF00000000}"/>
  </bookViews>
  <sheets>
    <sheet name="Início" sheetId="2" r:id="rId1"/>
    <sheet name="Guyon" sheetId="1" r:id="rId2"/>
  </sheets>
  <externalReferences>
    <externalReference r:id="rId3"/>
  </externalReferences>
  <definedNames>
    <definedName name="a.">[1]Cálculo!$C$194</definedName>
    <definedName name="a.1">[1]Cálculo!$C$193</definedName>
    <definedName name="a_d">[1]Consoles!$F$19</definedName>
    <definedName name="AB">[1]Cálculo!$C$7</definedName>
    <definedName name="abie">[1]Cálculo!$C$12</definedName>
    <definedName name="AC">[1]Cálculo!$C$9</definedName>
    <definedName name="aço">[1]Cálculo!$C$110</definedName>
    <definedName name="AD">[1]Cálculo!$C$8</definedName>
    <definedName name="aderência">[1]Consoles!$I$12</definedName>
    <definedName name="alfa">[1]Cálculo!$C$5</definedName>
    <definedName name="anc.reta1">[1]Cálculo!$C$136</definedName>
    <definedName name="anc.reta2">[1]Cálculo!$C$165</definedName>
    <definedName name="Anc.tir">[1]Cálculo!$C$90</definedName>
    <definedName name="aparelho">[1]Cálculo!$C$108</definedName>
    <definedName name="aparelho.an">[1]Cálculo!$C$101</definedName>
    <definedName name="aparelho.bn">[1]Cálculo!$C$102</definedName>
    <definedName name="aparelho.e1">[1]Cálculo!$C$97</definedName>
    <definedName name="aparelho.e2">[1]Cálculo!$C$98</definedName>
    <definedName name="aparelho.e3">[1]Cálculo!$C$99</definedName>
    <definedName name="aparelho.nkmax">[1]Cálculo!$C$103</definedName>
    <definedName name="aparelho.tmax">[1]Cálculo!$C$100</definedName>
    <definedName name="_xlnm.Print_Area" localSheetId="1">Guyon!$B$4:$I$35</definedName>
    <definedName name="_xlnm.Print_Area" localSheetId="0">Início!$C$4:$R$34</definedName>
    <definedName name="arm.tir">[1]Cálculo!$C$89</definedName>
    <definedName name="as.cost">[1]Cálculo!$C$25</definedName>
    <definedName name="as.cost.adotado">[1]Cálculo!$C$231</definedName>
    <definedName name="as.cost.muitocurto">[1]Cálculo!$C$55</definedName>
    <definedName name="as.est.muitocurtor">[1]Cálculo!$C$56</definedName>
    <definedName name="as.estr">[1]Cálculo!$C$26</definedName>
    <definedName name="as.tir">[1]Cálculo!$C$21</definedName>
    <definedName name="as.tirmuitocurto">[1]Cálculo!$C$51</definedName>
    <definedName name="asestr.adotado">[1]Cálculo!$C$186</definedName>
    <definedName name="Ash">[1]Cálculo!$C$20</definedName>
    <definedName name="astir.adotado">[1]Cálculo!$C$128</definedName>
    <definedName name="astir.min">[1]Cálculo!$C$24</definedName>
    <definedName name="astir.min.muitocurto">[1]Cálculo!$C$54</definedName>
    <definedName name="Asv">[1]Cálculo!$C$19</definedName>
    <definedName name="asv.muitocurto">[1]Cálculo!$C$50</definedName>
    <definedName name="BD">[1]Cálculo!$C$6</definedName>
    <definedName name="cobr">[1]Cálculo!$C$73</definedName>
    <definedName name="comprimento">[1]Cálculo!$C$71</definedName>
    <definedName name="cost.lb.final">[1]Cálculo!$C$176</definedName>
    <definedName name="cota.A">[1]Cálculo!$C$76</definedName>
    <definedName name="d.util">[1]Consoles!$E$19</definedName>
    <definedName name="Diam.cost">[1]Consoles!$F$34</definedName>
    <definedName name="Diam.estr">[1]Consoles!$F$35</definedName>
    <definedName name="Diam.tir">[1]Consoles!$F$33</definedName>
    <definedName name="dlinha">[1]Cálculo!$C$74</definedName>
    <definedName name="fase">[1]Cálculo!$C$107</definedName>
    <definedName name="fbd.1">[1]Cálculo!$C$133</definedName>
    <definedName name="fbd.2">[1]Cálculo!$C$162</definedName>
    <definedName name="fcd">[1]Cálculo!$C$16</definedName>
    <definedName name="fcd.1">[1]Cálculo!$C$192</definedName>
    <definedName name="fcd.calc">[1]Cálculo!$K$15</definedName>
    <definedName name="fcd.muitocurto">[1]Cálculo!$C$42</definedName>
    <definedName name="fck">[1]Cálculo!$C$109</definedName>
    <definedName name="fctd">[1]Cálculo!$C$129</definedName>
    <definedName name="Fsd">[1]Cálculo!$C$3</definedName>
    <definedName name="fyd">[1]Cálculo!$C$18</definedName>
    <definedName name="fyk">[1]Cálculo!$C$17</definedName>
    <definedName name="gancho.cost">[1]Consoles!$H$34</definedName>
    <definedName name="gancho.tir">[1]Consoles!$H$33</definedName>
    <definedName name="h">[1]Cálculo!$C$70</definedName>
    <definedName name="hbie">[1]Cálculo!$C$11</definedName>
    <definedName name="Hsd">[1]Cálculo!$C$4</definedName>
    <definedName name="largura">[1]Cálculo!$C$72</definedName>
    <definedName name="lim.mbt">[1]Cálculo!$C$111</definedName>
    <definedName name="linhaneutra">[1]Cálculo!$C$195</definedName>
    <definedName name="mi">[1]Cálculo!$C$49</definedName>
    <definedName name="Nk">[1]Cálculo!$C$121</definedName>
    <definedName name="Rcd">[1]Cálculo!$C$13</definedName>
    <definedName name="sigma.bie">[1]Cálculo!$C$14</definedName>
    <definedName name="taxa.arm">[1]Cálculo!$C$22</definedName>
    <definedName name="taxa.arm.muitocurto">[1]Cálculo!$C$52</definedName>
    <definedName name="taxa.mec">[1]Cálculo!$C$23</definedName>
    <definedName name="taxa.mec.muitocurto">[1]Cálculo!$C$53</definedName>
    <definedName name="teta">[1]Cálculo!$C$10</definedName>
    <definedName name="tipologia">[1]Consoles!$G$19</definedName>
    <definedName name="tir.lb.final">[1]Cálculo!$C$147</definedName>
    <definedName name="tirante.c.total">[1]Cálculo!$C$148</definedName>
    <definedName name="twd">[1]Cálculo!$C$40</definedName>
    <definedName name="twu.1">[1]Cálculo!$C$43</definedName>
    <definedName name="twu.2">[1]Cálculo!$C$44</definedName>
    <definedName name="twu.3">[1]Cálculo!$C$45</definedName>
    <definedName name="x_d">[1]Cálculo!$C$196</definedName>
    <definedName name="x_d.lim">[1]Cálculo!$C$197</definedName>
    <definedName name="yc">[1]Cálculo!$C$118</definedName>
    <definedName name="yconc">[1]Cálculo!$C$116</definedName>
    <definedName name="yk">[1]Cálculo!$C$117</definedName>
    <definedName name="ys">[1]Cálculo!$C$119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9" i="1" l="1"/>
  <c r="H9" i="1" s="1"/>
  <c r="E8" i="1"/>
  <c r="H8" i="1" s="1"/>
  <c r="B12" i="1"/>
  <c r="B11" i="1"/>
  <c r="H12" i="1"/>
  <c r="H13" i="1"/>
  <c r="H14" i="1"/>
  <c r="H15" i="1"/>
  <c r="H16" i="1"/>
  <c r="H17" i="1"/>
  <c r="H18" i="1"/>
  <c r="H19" i="1"/>
  <c r="H20" i="1"/>
  <c r="H21" i="1"/>
  <c r="H22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8" i="1"/>
  <c r="B22" i="1"/>
  <c r="B21" i="1"/>
  <c r="B20" i="1"/>
  <c r="B19" i="1"/>
  <c r="B18" i="1"/>
  <c r="B17" i="1"/>
  <c r="B16" i="1"/>
  <c r="B15" i="1"/>
  <c r="B14" i="1"/>
  <c r="B13" i="1"/>
  <c r="B9" i="1"/>
  <c r="H11" i="1" l="1"/>
  <c r="H10" i="1"/>
  <c r="B10" i="1"/>
</calcChain>
</file>

<file path=xl/sharedStrings.xml><?xml version="1.0" encoding="utf-8"?>
<sst xmlns="http://schemas.openxmlformats.org/spreadsheetml/2006/main" count="39" uniqueCount="39">
  <si>
    <t>PLANILHA PARA VERIFICAÇÃO DO RENDIMENTO DE GUYON DE UMA SEÇÃO TRANSVERSAL</t>
  </si>
  <si>
    <t>Seção</t>
  </si>
  <si>
    <t>Inércia</t>
  </si>
  <si>
    <t>Yi</t>
  </si>
  <si>
    <t>Ys</t>
  </si>
  <si>
    <t>Área</t>
  </si>
  <si>
    <t>Rendimento</t>
  </si>
  <si>
    <t>Peso / m</t>
  </si>
  <si>
    <t>PLANILHA PARA A VERIFICAÇÃO DO RENDIMENTO DE GUYON DE UMA SEÇÃO TRANSVERSAL</t>
  </si>
  <si>
    <t>TERMOS DE UTILIZAÇÃO DA PLANILHA</t>
  </si>
  <si>
    <t>1 - UTILIZAÇÃO DA PLANILHA</t>
  </si>
  <si>
    <r>
      <rPr>
        <b/>
        <sz val="10"/>
        <rFont val="Calibri"/>
        <family val="2"/>
        <scheme val="minor"/>
      </rPr>
      <t xml:space="preserve">1.1 </t>
    </r>
    <r>
      <rPr>
        <sz val="10"/>
        <rFont val="Calibri Light"/>
        <family val="2"/>
        <scheme val="major"/>
      </rPr>
      <t xml:space="preserve">O presente documento autoriza a utilização da planilha "PRÉ-RENDIMENTO GUYON.xlsm" pelos colaboradores da ENGEMÜLLER, na sua versão mais recente. </t>
    </r>
  </si>
  <si>
    <r>
      <rPr>
        <b/>
        <sz val="10"/>
        <rFont val="Calibri"/>
        <family val="2"/>
        <scheme val="minor"/>
      </rPr>
      <t xml:space="preserve">1.2 </t>
    </r>
    <r>
      <rPr>
        <sz val="10"/>
        <rFont val="Calibri Light"/>
        <family val="2"/>
        <scheme val="major"/>
      </rPr>
      <t>Ao utilizar a planilha, o usuário concorda com os termos de uso descritos neste documento.</t>
    </r>
  </si>
  <si>
    <r>
      <rPr>
        <b/>
        <sz val="10"/>
        <rFont val="Calibri"/>
        <family val="2"/>
        <scheme val="minor"/>
      </rPr>
      <t xml:space="preserve">1.3 </t>
    </r>
    <r>
      <rPr>
        <sz val="10"/>
        <rFont val="Calibri Light"/>
        <family val="2"/>
        <scheme val="major"/>
      </rPr>
      <t>A autorização de uso é exclusiva aos colaboradores da ENGEMÜLLER e não é permitido reproduzir ou compartilhar a planilha.</t>
    </r>
  </si>
  <si>
    <r>
      <rPr>
        <b/>
        <sz val="10"/>
        <rFont val="Calibri"/>
        <family val="2"/>
        <scheme val="minor"/>
      </rPr>
      <t xml:space="preserve">1.4 </t>
    </r>
    <r>
      <rPr>
        <sz val="10"/>
        <rFont val="Calibri Light"/>
        <family val="2"/>
        <scheme val="major"/>
      </rPr>
      <t>Autorização de uso por 12 meses a partir de 30/04/2022, prorrogável por acordo escrito. Utilização para fins de teste e otimização.</t>
    </r>
  </si>
  <si>
    <t>2 - LIBERAÇÃO DE ACESSO À PLANILHA</t>
  </si>
  <si>
    <r>
      <rPr>
        <b/>
        <sz val="10"/>
        <rFont val="Calibri"/>
        <family val="2"/>
        <scheme val="minor"/>
      </rPr>
      <t xml:space="preserve">2.1 </t>
    </r>
    <r>
      <rPr>
        <sz val="10"/>
        <rFont val="Calibri Light"/>
        <family val="2"/>
        <scheme val="major"/>
      </rPr>
      <t>A utilização desta planilha só é possível em computadores e usuários previamente cadastrados e com as macros habilitadas.</t>
    </r>
  </si>
  <si>
    <r>
      <rPr>
        <b/>
        <sz val="10"/>
        <rFont val="Calibri"/>
        <family val="2"/>
        <scheme val="minor"/>
      </rPr>
      <t xml:space="preserve">2.2 </t>
    </r>
    <r>
      <rPr>
        <sz val="10"/>
        <rFont val="Calibri Light"/>
        <family val="2"/>
        <scheme val="major"/>
      </rPr>
      <t>A guia "Início" da planilha não pode ser excluída. A exclusão será considerada uma violação de segurança e resultará na desconfiguração automática da planilha.</t>
    </r>
  </si>
  <si>
    <t>3 - RESULTADOS E ANÁLISE CRÍTICA</t>
  </si>
  <si>
    <r>
      <rPr>
        <b/>
        <sz val="10"/>
        <rFont val="Calibri"/>
        <family val="2"/>
        <scheme val="minor"/>
      </rPr>
      <t xml:space="preserve">3.1 </t>
    </r>
    <r>
      <rPr>
        <sz val="10"/>
        <rFont val="Calibri Light"/>
        <family val="2"/>
        <scheme val="major"/>
      </rPr>
      <t>Os resultados obtidos deverão ser analisados técnicamente por profissional habilitado, que é o responsável por validar as informações apresentadas.</t>
    </r>
  </si>
  <si>
    <r>
      <rPr>
        <b/>
        <sz val="10"/>
        <rFont val="Calibri"/>
        <family val="2"/>
        <scheme val="minor"/>
      </rPr>
      <t xml:space="preserve">3.2 </t>
    </r>
    <r>
      <rPr>
        <sz val="10"/>
        <rFont val="Calibri Light"/>
        <family val="2"/>
        <scheme val="major"/>
      </rPr>
      <t>Esta é uma ferramenta auxiliar para o engenheiro, e não substitui sua responsabilidade na definição, verificação, dimensionamento e detalhamento da estrutura.</t>
    </r>
  </si>
  <si>
    <r>
      <rPr>
        <b/>
        <sz val="10"/>
        <rFont val="Calibri"/>
        <family val="2"/>
        <scheme val="minor"/>
      </rPr>
      <t xml:space="preserve">3.3 </t>
    </r>
    <r>
      <rPr>
        <sz val="10"/>
        <rFont val="Calibri Light"/>
        <family val="2"/>
        <scheme val="major"/>
      </rPr>
      <t>O desenvolvedor não tem qualquer tipo de responsabilidade pela interpretação/uso dos resultados obtidos a partir da utilização da planilha.</t>
    </r>
  </si>
  <si>
    <r>
      <rPr>
        <b/>
        <sz val="10"/>
        <rFont val="Calibri Light"/>
        <family val="2"/>
        <scheme val="major"/>
      </rPr>
      <t>3.4</t>
    </r>
    <r>
      <rPr>
        <sz val="10"/>
        <rFont val="Calibri Light"/>
        <family val="2"/>
        <scheme val="major"/>
      </rPr>
      <t xml:space="preserve"> O usuário é responsável por verificar a validade e a precisão dos resultados obtidos pela planilha antes de aceitá-los e tomar decisões baseadas neles.</t>
    </r>
  </si>
  <si>
    <t>4 - ATUALIZAÇÕES E SUPORTE TÉCNICO</t>
  </si>
  <si>
    <r>
      <rPr>
        <b/>
        <sz val="10"/>
        <rFont val="Calibri"/>
        <family val="2"/>
        <scheme val="minor"/>
      </rPr>
      <t xml:space="preserve">4.1 </t>
    </r>
    <r>
      <rPr>
        <sz val="10"/>
        <rFont val="Calibri Light"/>
        <family val="2"/>
        <scheme val="major"/>
      </rPr>
      <t>O desenvolvedor se reserva o direito de fazer atualizações na planilha a qualquer momento e sem aviso prévio.</t>
    </r>
  </si>
  <si>
    <r>
      <rPr>
        <b/>
        <sz val="10"/>
        <rFont val="Calibri"/>
        <family val="2"/>
        <scheme val="minor"/>
      </rPr>
      <t xml:space="preserve">4.2 </t>
    </r>
    <r>
      <rPr>
        <sz val="10"/>
        <rFont val="Calibri Light"/>
        <family val="2"/>
        <scheme val="major"/>
      </rPr>
      <t>O suporte técnico somente será prestado aos colaboradores da ENGEMÜLLER, durante o prazo de vigência da autorização de uso.</t>
    </r>
  </si>
  <si>
    <r>
      <rPr>
        <b/>
        <sz val="10"/>
        <rFont val="Calibri"/>
        <family val="2"/>
        <scheme val="minor"/>
      </rPr>
      <t xml:space="preserve">4.3 </t>
    </r>
    <r>
      <rPr>
        <sz val="10"/>
        <rFont val="Calibri Light"/>
        <family val="2"/>
        <scheme val="major"/>
      </rPr>
      <t xml:space="preserve">O usuário concorda em informar imediatamente ao autor sobre quaisquer erros ou bugs encontrados na planilha. </t>
    </r>
  </si>
  <si>
    <r>
      <rPr>
        <b/>
        <sz val="10"/>
        <rFont val="Calibri Light"/>
        <family val="2"/>
        <scheme val="major"/>
      </rPr>
      <t>4.4</t>
    </r>
    <r>
      <rPr>
        <sz val="10"/>
        <rFont val="Calibri Light"/>
        <family val="2"/>
        <scheme val="major"/>
      </rPr>
      <t xml:space="preserve"> O usuário concorda em fornecer informações detalhadas sobre o erro ou bug, incluindo as etapas para reproduzir o problema.</t>
    </r>
  </si>
  <si>
    <t>5 - RESPONSABILIDADE POR DANOS</t>
  </si>
  <si>
    <r>
      <rPr>
        <b/>
        <sz val="10"/>
        <rFont val="Calibri"/>
        <family val="2"/>
        <scheme val="minor"/>
      </rPr>
      <t xml:space="preserve">5.1 </t>
    </r>
    <r>
      <rPr>
        <sz val="10"/>
        <rFont val="Calibri Light"/>
        <family val="2"/>
        <scheme val="major"/>
      </rPr>
      <t>O desenvolvedor da planilha não será responsável por quaisquer danos diretos, indiretos, acidentais, especiais, conseqüentes ou exemplares, incluindo, mas não se limitando</t>
    </r>
  </si>
  <si>
    <t>a lucros cessantes, perdas financeiras, perdas de negócios ou perdas de dados, resultantes do uso ou da incapacidade de uso da planilha, ou por quaisquer erros ou omissões nas</t>
  </si>
  <si>
    <t>informações fornecidas na planilha.</t>
  </si>
  <si>
    <t>6 - RESTRIÇÕES DE COMPARTILHAMENTO E DIREITOS AUTORAIS</t>
  </si>
  <si>
    <r>
      <rPr>
        <b/>
        <sz val="10"/>
        <rFont val="Calibri"/>
        <family val="2"/>
        <scheme val="minor"/>
      </rPr>
      <t xml:space="preserve">6.1 </t>
    </r>
    <r>
      <rPr>
        <sz val="10"/>
        <rFont val="Calibri Light"/>
        <family val="2"/>
        <scheme val="major"/>
      </rPr>
      <t>Os direitos autorais desta planilha são de propriedade exclusiva do seu desenvolvedor, Engenheiro Civil Guilherme Luiz Nardelli, com registro CREA/SC número 147847-2.</t>
    </r>
  </si>
  <si>
    <r>
      <rPr>
        <b/>
        <sz val="10"/>
        <rFont val="Calibri"/>
        <family val="2"/>
        <scheme val="minor"/>
      </rPr>
      <t xml:space="preserve">6.2 </t>
    </r>
    <r>
      <rPr>
        <sz val="10"/>
        <rFont val="Calibri Light"/>
        <family val="2"/>
        <scheme val="major"/>
      </rPr>
      <t>O uso não autorizado da planilha, constitui uma violação dos direitos autorais do desenvolvedor e pode resultar em ações judiciais.</t>
    </r>
  </si>
  <si>
    <r>
      <rPr>
        <b/>
        <sz val="10"/>
        <rFont val="Calibri"/>
        <family val="2"/>
        <scheme val="minor"/>
      </rPr>
      <t>6.3</t>
    </r>
    <r>
      <rPr>
        <sz val="10"/>
        <rFont val="Calibri Light"/>
        <family val="2"/>
        <scheme val="major"/>
      </rPr>
      <t xml:space="preserve"> É proibido reproduzir, comercializar, emprestar, alugar ou doar total ou parcialmente esta planilha, assim como alterá-la ou modificá-la através de qualquer meio possível.</t>
    </r>
  </si>
  <si>
    <r>
      <rPr>
        <b/>
        <sz val="10"/>
        <rFont val="Calibri"/>
        <family val="2"/>
        <scheme val="minor"/>
      </rPr>
      <t xml:space="preserve">6.4 </t>
    </r>
    <r>
      <rPr>
        <sz val="10"/>
        <rFont val="Calibri Light"/>
        <family val="2"/>
        <scheme val="major"/>
      </rPr>
      <t xml:space="preserve">A propriedade intelectual da planilha, incluindo, mas não se limitando a seu código fonte, design, gráficos, imagens e textos, é de propriedade exclusiva do desenvolvedor e </t>
    </r>
  </si>
  <si>
    <t>seu código fonte, está protegida por leis de direitos autorais e marcas comerciais.</t>
  </si>
  <si>
    <r>
      <rPr>
        <b/>
        <sz val="10"/>
        <rFont val="Calibri"/>
        <family val="2"/>
        <scheme val="minor"/>
      </rPr>
      <t xml:space="preserve">6.5 </t>
    </r>
    <r>
      <rPr>
        <sz val="10"/>
        <rFont val="Calibri Light"/>
        <family val="2"/>
        <scheme val="major"/>
      </rPr>
      <t>O usuário concorda em indenizar e isentar o autor de qualquer reivindicação, danos e despesas, incluindo honorários advocatícios, decorrentes do uso não autorizado.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</si>
</sst>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\ &quot;Mpa&quot;"/>
    <numFmt numFmtId="165" formatCode="0.00\ &quot;cm²&quot;"/>
    <numFmt numFmtId="166" formatCode="00"/>
    <numFmt numFmtId="167" formatCode="0.00\ &quot;cm&quot;"/>
    <numFmt numFmtId="168" formatCode="0.0000"/>
    <numFmt numFmtId="169" formatCode="00.0"/>
    <numFmt numFmtId="170" formatCode="#,#00\ &quot;cm^4&quot;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565656"/>
      <name val="Calibri"/>
      <family val="2"/>
      <scheme val="minor"/>
    </font>
    <font>
      <sz val="11"/>
      <name val="Calibri"/>
      <family val="2"/>
      <scheme val="minor"/>
    </font>
    <font>
      <b/>
      <sz val="18"/>
      <color theme="1"/>
      <name val="Century Gothic"/>
      <family val="2"/>
    </font>
    <font>
      <sz val="11"/>
      <color rgb="FF00206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0"/>
      <name val="Calibri Light"/>
      <family val="2"/>
      <scheme val="maj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entury Gothic"/>
      <family val="2"/>
    </font>
    <font>
      <b/>
      <sz val="10"/>
      <name val="Calibri Light"/>
      <family val="2"/>
      <scheme val="major"/>
    </font>
    <font>
      <sz val="10"/>
      <color theme="1"/>
      <name val="Calibri"/>
      <family val="2"/>
      <scheme val="minor"/>
    </font>
    <font>
      <sz val="11"/>
      <color theme="1"/>
      <name val="Calibri Light"/>
      <family val="2"/>
      <scheme val="major"/>
    </font>
  </fonts>
  <fills count="8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AABFF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15">
    <border>
      <left/>
      <right/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rgb="FF565656"/>
      </left>
      <right style="thin">
        <color rgb="FF565656"/>
      </right>
      <top style="thin">
        <color rgb="FF565656"/>
      </top>
      <bottom style="thin">
        <color rgb="FF565656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</borders>
  <cellStyleXfs count="4">
    <xf numFmtId="0" fontId="0" fillId="0" borderId="0"/>
    <xf numFmtId="164" fontId="4" fillId="3" borderId="5" applyNumberFormat="0" applyProtection="0">
      <alignment horizontal="center" vertical="center"/>
      <protection locked="0"/>
    </xf>
    <xf numFmtId="165" fontId="2" fillId="5" borderId="6" applyNumberFormat="0">
      <alignment horizontal="center" vertical="center"/>
    </xf>
    <xf numFmtId="0" fontId="1" fillId="0" borderId="0"/>
  </cellStyleXfs>
  <cellXfs count="50">
    <xf numFmtId="0" fontId="0" fillId="0" borderId="0" xfId="0"/>
    <xf numFmtId="167" fontId="5" fillId="4" borderId="4" xfId="1" applyNumberFormat="1" applyFont="1" applyFill="1" applyBorder="1" applyProtection="1">
      <alignment horizontal="center" vertical="center"/>
      <protection locked="0"/>
    </xf>
    <xf numFmtId="166" fontId="5" fillId="7" borderId="4" xfId="1" applyNumberFormat="1" applyFont="1" applyFill="1" applyBorder="1" applyProtection="1">
      <alignment horizontal="center" vertical="center"/>
      <protection locked="0"/>
    </xf>
    <xf numFmtId="0" fontId="6" fillId="0" borderId="0" xfId="3" applyFont="1" applyAlignment="1">
      <alignment vertical="center"/>
    </xf>
    <xf numFmtId="0" fontId="1" fillId="0" borderId="0" xfId="3"/>
    <xf numFmtId="0" fontId="1" fillId="0" borderId="0" xfId="3" applyAlignment="1">
      <alignment horizontal="left"/>
    </xf>
    <xf numFmtId="170" fontId="5" fillId="4" borderId="4" xfId="1" applyNumberFormat="1" applyFont="1" applyFill="1" applyBorder="1" applyProtection="1">
      <alignment horizontal="center" vertical="center"/>
      <protection locked="0"/>
    </xf>
    <xf numFmtId="165" fontId="5" fillId="4" borderId="4" xfId="1" applyNumberFormat="1" applyFont="1" applyFill="1" applyBorder="1" applyProtection="1">
      <alignment horizontal="center" vertical="center"/>
      <protection locked="0"/>
    </xf>
    <xf numFmtId="0" fontId="3" fillId="2" borderId="4" xfId="0" applyFont="1" applyFill="1" applyBorder="1" applyAlignment="1">
      <alignment horizontal="center" vertical="center"/>
    </xf>
    <xf numFmtId="169" fontId="5" fillId="6" borderId="4" xfId="2" applyNumberFormat="1" applyFont="1" applyFill="1" applyBorder="1">
      <alignment horizontal="center" vertical="center"/>
    </xf>
    <xf numFmtId="168" fontId="5" fillId="6" borderId="4" xfId="2" applyNumberFormat="1" applyFont="1" applyFill="1" applyBorder="1">
      <alignment horizontal="center" vertic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8" xfId="0" applyBorder="1" applyAlignment="1">
      <alignment horizontal="left"/>
    </xf>
    <xf numFmtId="0" fontId="7" fillId="0" borderId="0" xfId="0" applyFont="1"/>
    <xf numFmtId="0" fontId="3" fillId="0" borderId="7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8" xfId="0" applyFont="1" applyBorder="1" applyAlignment="1">
      <alignment horizontal="left" vertical="center"/>
    </xf>
    <xf numFmtId="0" fontId="10" fillId="0" borderId="7" xfId="0" applyFont="1" applyBorder="1" applyAlignment="1">
      <alignment horizontal="left" vertical="center"/>
    </xf>
    <xf numFmtId="0" fontId="5" fillId="0" borderId="0" xfId="0" applyFont="1"/>
    <xf numFmtId="0" fontId="12" fillId="0" borderId="0" xfId="0" applyFont="1"/>
    <xf numFmtId="0" fontId="13" fillId="0" borderId="8" xfId="0" applyFont="1" applyBorder="1" applyAlignment="1">
      <alignment vertical="center"/>
    </xf>
    <xf numFmtId="0" fontId="12" fillId="0" borderId="8" xfId="0" applyFont="1" applyBorder="1"/>
    <xf numFmtId="0" fontId="12" fillId="0" borderId="0" xfId="0" applyFont="1" applyAlignment="1">
      <alignment horizontal="left"/>
    </xf>
    <xf numFmtId="0" fontId="5" fillId="0" borderId="8" xfId="0" applyFont="1" applyBorder="1"/>
    <xf numFmtId="0" fontId="3" fillId="0" borderId="0" xfId="0" applyFont="1" applyAlignment="1">
      <alignment horizontal="left"/>
    </xf>
    <xf numFmtId="0" fontId="3" fillId="0" borderId="8" xfId="0" applyFont="1" applyBorder="1" applyAlignment="1">
      <alignment horizontal="left"/>
    </xf>
    <xf numFmtId="0" fontId="5" fillId="0" borderId="0" xfId="0" applyFont="1" applyAlignment="1">
      <alignment horizontal="left" vertical="center"/>
    </xf>
    <xf numFmtId="0" fontId="5" fillId="0" borderId="8" xfId="0" applyFont="1" applyBorder="1" applyAlignment="1">
      <alignment horizontal="left" vertical="center"/>
    </xf>
    <xf numFmtId="0" fontId="15" fillId="0" borderId="0" xfId="0" applyFont="1"/>
    <xf numFmtId="0" fontId="0" fillId="0" borderId="0" xfId="0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16" fillId="0" borderId="0" xfId="0" applyFont="1"/>
    <xf numFmtId="0" fontId="10" fillId="0" borderId="9" xfId="0" applyFont="1" applyBorder="1" applyAlignment="1">
      <alignment horizontal="left" vertical="center"/>
    </xf>
    <xf numFmtId="0" fontId="16" fillId="0" borderId="10" xfId="0" applyFont="1" applyBorder="1"/>
    <xf numFmtId="0" fontId="8" fillId="6" borderId="1" xfId="0" applyFont="1" applyFill="1" applyBorder="1" applyAlignment="1">
      <alignment horizontal="center" vertical="center"/>
    </xf>
    <xf numFmtId="0" fontId="8" fillId="6" borderId="2" xfId="0" applyFont="1" applyFill="1" applyBorder="1" applyAlignment="1">
      <alignment horizontal="center" vertical="center"/>
    </xf>
    <xf numFmtId="0" fontId="8" fillId="6" borderId="3" xfId="0" applyFont="1" applyFill="1" applyBorder="1" applyAlignment="1">
      <alignment horizontal="center" vertical="center"/>
    </xf>
    <xf numFmtId="0" fontId="9" fillId="0" borderId="12" xfId="0" applyFont="1" applyBorder="1" applyAlignment="1">
      <alignment horizontal="center"/>
    </xf>
    <xf numFmtId="0" fontId="9" fillId="0" borderId="13" xfId="0" applyFont="1" applyBorder="1" applyAlignment="1">
      <alignment horizontal="center"/>
    </xf>
    <xf numFmtId="0" fontId="9" fillId="0" borderId="14" xfId="0" applyFont="1" applyBorder="1" applyAlignment="1">
      <alignment horizontal="center"/>
    </xf>
    <xf numFmtId="0" fontId="3" fillId="0" borderId="7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8" xfId="0" applyFont="1" applyBorder="1" applyAlignment="1">
      <alignment horizontal="left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</cellXfs>
  <cellStyles count="4">
    <cellStyle name="2 - ENTRADA" xfId="1" xr:uid="{3C234DB4-EB98-4379-BE8A-4CCA28C01B2B}"/>
    <cellStyle name="Normal" xfId="0" builtinId="0"/>
    <cellStyle name="Normal 3" xfId="3" xr:uid="{BDD59CE1-74AA-48B3-B7CD-A841BFA0A24A}"/>
    <cellStyle name="RESULTADOS" xfId="2" xr:uid="{7C9DFCDD-B54C-4FA8-8720-F00A94FC96AE}"/>
  </cellStyles>
  <dxfs count="1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none">
          <bgColor auto="1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 patternType="none">
          <bgColor auto="1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 patternType="none">
          <bgColor auto="1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 patternType="none">
          <bgColor auto="1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 patternType="none">
          <bgColor auto="1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 patternType="none">
          <bgColor auto="1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 patternType="none">
          <bgColor auto="1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 patternType="none">
          <bgColor auto="1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 patternType="none">
          <bgColor auto="1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 patternType="none">
          <bgColor auto="1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 patternType="none">
          <bgColor auto="1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 patternType="none">
          <bgColor auto="1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 patternType="none">
          <bgColor auto="1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</border>
    </dxf>
    <dxf>
      <fill>
        <patternFill patternType="none">
          <bgColor auto="1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Guyon!A1"/><Relationship Id="rId1" Type="http://schemas.openxmlformats.org/officeDocument/2006/relationships/hyperlink" Target="#In&#237;cio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Guyon!A1"/><Relationship Id="rId2" Type="http://schemas.openxmlformats.org/officeDocument/2006/relationships/hyperlink" Target="#In&#237;cio!A1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377531</xdr:colOff>
      <xdr:row>1</xdr:row>
      <xdr:rowOff>0</xdr:rowOff>
    </xdr:from>
    <xdr:to>
      <xdr:col>7</xdr:col>
      <xdr:colOff>466097</xdr:colOff>
      <xdr:row>2</xdr:row>
      <xdr:rowOff>828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0C4AA1F5-F737-42A3-91AE-7346944C4939}"/>
            </a:ext>
          </a:extLst>
        </xdr:cNvPr>
        <xdr:cNvGrpSpPr/>
      </xdr:nvGrpSpPr>
      <xdr:grpSpPr>
        <a:xfrm>
          <a:off x="377531" y="190500"/>
          <a:ext cx="3075952" cy="251942"/>
          <a:chOff x="606131" y="190500"/>
          <a:chExt cx="3074724" cy="248478"/>
        </a:xfrm>
      </xdr:grpSpPr>
      <xdr:sp macro="" textlink="">
        <xdr:nvSpPr>
          <xdr:cNvPr id="5" name="Rectangle 5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4FED7EA-8ACC-489B-AEAB-9777ABDDF6DF}"/>
              </a:ext>
            </a:extLst>
          </xdr:cNvPr>
          <xdr:cNvSpPr/>
        </xdr:nvSpPr>
        <xdr:spPr>
          <a:xfrm>
            <a:off x="606131" y="190500"/>
            <a:ext cx="753618" cy="248478"/>
          </a:xfrm>
          <a:prstGeom prst="rect">
            <a:avLst/>
          </a:prstGeom>
          <a:solidFill>
            <a:schemeClr val="accent6">
              <a:lumMod val="60000"/>
              <a:lumOff val="40000"/>
              <a:alpha val="50000"/>
            </a:schemeClr>
          </a:solidFill>
          <a:ln w="6350"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 b="1">
                <a:solidFill>
                  <a:sysClr val="windowText" lastClr="000000"/>
                </a:solidFill>
              </a:rPr>
              <a:t>INÍCIO</a:t>
            </a:r>
            <a:endParaRPr lang="pt-BR" sz="1200" b="1">
              <a:solidFill>
                <a:sysClr val="windowText" lastClr="000000"/>
              </a:solidFill>
              <a:latin typeface="+mn-lt"/>
              <a:ea typeface="+mn-ea"/>
              <a:cs typeface="+mn-cs"/>
            </a:endParaRPr>
          </a:p>
        </xdr:txBody>
      </xdr:sp>
      <xdr:sp macro="[0]!Principal" textlink="">
        <xdr:nvSpPr>
          <xdr:cNvPr id="7" name="Rectangle 22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29226241-F108-460C-9C2A-312F55A56D11}"/>
              </a:ext>
            </a:extLst>
          </xdr:cNvPr>
          <xdr:cNvSpPr/>
        </xdr:nvSpPr>
        <xdr:spPr>
          <a:xfrm>
            <a:off x="1393155" y="190500"/>
            <a:ext cx="2287700" cy="248478"/>
          </a:xfrm>
          <a:prstGeom prst="rect">
            <a:avLst/>
          </a:prstGeom>
          <a:solidFill>
            <a:schemeClr val="bg1">
              <a:lumMod val="75000"/>
              <a:alpha val="50000"/>
            </a:schemeClr>
          </a:solidFill>
          <a:ln w="635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 b="1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VERIFICAÇÃO</a:t>
            </a:r>
            <a:endParaRPr lang="pt-BR" sz="1600" b="1">
              <a:solidFill>
                <a:sysClr val="windowText" lastClr="000000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64077</xdr:colOff>
      <xdr:row>23</xdr:row>
      <xdr:rowOff>171452</xdr:rowOff>
    </xdr:from>
    <xdr:to>
      <xdr:col>6</xdr:col>
      <xdr:colOff>35502</xdr:colOff>
      <xdr:row>34</xdr:row>
      <xdr:rowOff>185651</xdr:rowOff>
    </xdr:to>
    <xdr:pic>
      <xdr:nvPicPr>
        <xdr:cNvPr id="2" name="Picture 4">
          <a:extLst>
            <a:ext uri="{FF2B5EF4-FFF2-40B4-BE49-F238E27FC236}">
              <a16:creationId xmlns:a16="http://schemas.microsoft.com/office/drawing/2014/main" id="{465A80D3-66BD-46FE-BBDB-6836F4A9FF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00350" y="4613566"/>
          <a:ext cx="3504334" cy="2109699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</xdr:row>
      <xdr:rowOff>0</xdr:rowOff>
    </xdr:from>
    <xdr:to>
      <xdr:col>3</xdr:col>
      <xdr:colOff>713752</xdr:colOff>
      <xdr:row>2</xdr:row>
      <xdr:rowOff>4292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E2E3564D-E542-4424-9839-A6AB1DFD28ED}"/>
            </a:ext>
          </a:extLst>
        </xdr:cNvPr>
        <xdr:cNvGrpSpPr/>
      </xdr:nvGrpSpPr>
      <xdr:grpSpPr>
        <a:xfrm>
          <a:off x="381000" y="190500"/>
          <a:ext cx="3069025" cy="255406"/>
          <a:chOff x="606131" y="190500"/>
          <a:chExt cx="3074724" cy="248478"/>
        </a:xfrm>
      </xdr:grpSpPr>
      <xdr:sp macro="" textlink="">
        <xdr:nvSpPr>
          <xdr:cNvPr id="4" name="Rectangle 5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47664F90-F259-48E8-885B-F2623EA4DB39}"/>
              </a:ext>
            </a:extLst>
          </xdr:cNvPr>
          <xdr:cNvSpPr/>
        </xdr:nvSpPr>
        <xdr:spPr>
          <a:xfrm>
            <a:off x="606131" y="190500"/>
            <a:ext cx="753618" cy="248478"/>
          </a:xfrm>
          <a:prstGeom prst="rect">
            <a:avLst/>
          </a:prstGeom>
          <a:solidFill>
            <a:schemeClr val="bg1">
              <a:lumMod val="75000"/>
              <a:alpha val="50000"/>
            </a:schemeClr>
          </a:solidFill>
          <a:ln w="6350">
            <a:solidFill>
              <a:schemeClr val="bg1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 b="1">
                <a:solidFill>
                  <a:sysClr val="windowText" lastClr="000000"/>
                </a:solidFill>
              </a:rPr>
              <a:t>INÍCIO</a:t>
            </a:r>
            <a:endParaRPr lang="pt-BR" sz="1200" b="1">
              <a:solidFill>
                <a:sysClr val="windowText" lastClr="000000"/>
              </a:solidFill>
              <a:latin typeface="+mn-lt"/>
              <a:ea typeface="+mn-ea"/>
              <a:cs typeface="+mn-cs"/>
            </a:endParaRPr>
          </a:p>
        </xdr:txBody>
      </xdr:sp>
      <xdr:sp macro="[0]!Principal" textlink="">
        <xdr:nvSpPr>
          <xdr:cNvPr id="5" name="Rectangle 22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EDA4AE1B-B7E8-4F86-9DBE-E082D51D45B0}"/>
              </a:ext>
            </a:extLst>
          </xdr:cNvPr>
          <xdr:cNvSpPr/>
        </xdr:nvSpPr>
        <xdr:spPr>
          <a:xfrm>
            <a:off x="1393155" y="190500"/>
            <a:ext cx="2287700" cy="248478"/>
          </a:xfrm>
          <a:prstGeom prst="rect">
            <a:avLst/>
          </a:prstGeom>
          <a:solidFill>
            <a:schemeClr val="accent6">
              <a:lumMod val="60000"/>
              <a:lumOff val="40000"/>
              <a:alpha val="50000"/>
            </a:schemeClr>
          </a:solidFill>
          <a:ln w="6350"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 b="1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VERIFICAÇÃO</a:t>
            </a:r>
            <a:endParaRPr lang="pt-BR" sz="1600" b="1">
              <a:solidFill>
                <a:sysClr val="windowText" lastClr="000000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Guilherme\Documents\1%20-%20Engenharia\PLANILHAS\002%20-%20Planilhas%20em%20desenvolvimento\nova%20i&#231;amento\001%20-%20PR&#201;%20-%20CONSOLE%20V1.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ício"/>
      <sheetName val="Consoles"/>
      <sheetName val="b15"/>
      <sheetName val="b20"/>
      <sheetName val="b25"/>
      <sheetName val="b30"/>
      <sheetName val="b40"/>
      <sheetName val="misula"/>
      <sheetName val="Neoprene"/>
      <sheetName val="acesso"/>
      <sheetName val="Cálculo"/>
    </sheetNames>
    <sheetDataSet>
      <sheetData sheetId="0"/>
      <sheetData sheetId="1">
        <row r="12">
          <cell r="I12" t="str">
            <v>Má</v>
          </cell>
        </row>
        <row r="19">
          <cell r="E19">
            <v>21.7</v>
          </cell>
          <cell r="F19">
            <v>0.57603686635944706</v>
          </cell>
          <cell r="G19" t="str">
            <v>Consolo Curto</v>
          </cell>
        </row>
        <row r="33">
          <cell r="F33">
            <v>16</v>
          </cell>
          <cell r="H33" t="str">
            <v>Com gancho</v>
          </cell>
        </row>
        <row r="34">
          <cell r="F34">
            <v>6.3</v>
          </cell>
          <cell r="H34" t="str">
            <v>Sem gancho</v>
          </cell>
        </row>
        <row r="35">
          <cell r="F35">
            <v>6.3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3">
          <cell r="C3">
            <v>25.2</v>
          </cell>
        </row>
        <row r="4">
          <cell r="C4">
            <v>4.032</v>
          </cell>
        </row>
        <row r="5">
          <cell r="C5">
            <v>9.0902769208223226</v>
          </cell>
        </row>
        <row r="6">
          <cell r="C6">
            <v>0.52800000000000002</v>
          </cell>
        </row>
        <row r="7">
          <cell r="C7">
            <v>5.8719999999999981</v>
          </cell>
        </row>
        <row r="8">
          <cell r="C8">
            <v>6.3999999999999986</v>
          </cell>
        </row>
        <row r="9">
          <cell r="C9">
            <v>11.743999999999996</v>
          </cell>
        </row>
        <row r="10">
          <cell r="C10">
            <v>48.945186229037567</v>
          </cell>
        </row>
        <row r="11">
          <cell r="C11">
            <v>8.8559342620887733</v>
          </cell>
        </row>
        <row r="12">
          <cell r="C12">
            <v>177.11868524177547</v>
          </cell>
        </row>
        <row r="13">
          <cell r="C13">
            <v>33.418134241005191</v>
          </cell>
        </row>
        <row r="14">
          <cell r="C14">
            <v>18.867650352862455</v>
          </cell>
        </row>
        <row r="15">
          <cell r="K15">
            <v>35.714285714285715</v>
          </cell>
        </row>
        <row r="16">
          <cell r="C16">
            <v>30.357142857142858</v>
          </cell>
        </row>
        <row r="17">
          <cell r="C17">
            <v>500</v>
          </cell>
        </row>
        <row r="18">
          <cell r="C18">
            <v>434.78260869565219</v>
          </cell>
        </row>
        <row r="19">
          <cell r="C19">
            <v>3.9183096774193547</v>
          </cell>
        </row>
        <row r="20">
          <cell r="C20">
            <v>0.92736000000000007</v>
          </cell>
        </row>
        <row r="21">
          <cell r="C21">
            <v>4.8456696774193544</v>
          </cell>
        </row>
        <row r="22">
          <cell r="C22">
            <v>8.9321100044596393E-3</v>
          </cell>
        </row>
        <row r="23">
          <cell r="C23">
            <v>8.9321100044596397E-2</v>
          </cell>
        </row>
        <row r="24">
          <cell r="C24">
            <v>2.17</v>
          </cell>
        </row>
        <row r="25">
          <cell r="C25">
            <v>1.5673238709677422</v>
          </cell>
        </row>
        <row r="26">
          <cell r="C26">
            <v>0.9375</v>
          </cell>
        </row>
        <row r="40">
          <cell r="C40">
            <v>4.032</v>
          </cell>
        </row>
        <row r="42">
          <cell r="C42">
            <v>35.714285714285715</v>
          </cell>
        </row>
        <row r="43">
          <cell r="C43">
            <v>7.0134193548387103</v>
          </cell>
        </row>
        <row r="44">
          <cell r="C44">
            <v>7.7142857142857153</v>
          </cell>
        </row>
        <row r="45">
          <cell r="C45">
            <v>8</v>
          </cell>
        </row>
        <row r="49">
          <cell r="C49">
            <v>1</v>
          </cell>
        </row>
        <row r="50">
          <cell r="C50">
            <v>4.6368</v>
          </cell>
        </row>
        <row r="51">
          <cell r="C51">
            <v>5.5641600000000002</v>
          </cell>
        </row>
        <row r="52">
          <cell r="C52">
            <v>1.0256516129032259E-2</v>
          </cell>
        </row>
        <row r="53">
          <cell r="C53">
            <v>0.1025651612903226</v>
          </cell>
        </row>
        <row r="54">
          <cell r="C54">
            <v>2.17</v>
          </cell>
        </row>
        <row r="55">
          <cell r="C55">
            <v>2.3184</v>
          </cell>
        </row>
        <row r="56">
          <cell r="C56">
            <v>0.9375</v>
          </cell>
        </row>
        <row r="70">
          <cell r="C70">
            <v>25</v>
          </cell>
        </row>
        <row r="71">
          <cell r="C71">
            <v>25</v>
          </cell>
        </row>
        <row r="72">
          <cell r="C72">
            <v>25</v>
          </cell>
        </row>
        <row r="73">
          <cell r="C73">
            <v>2.5</v>
          </cell>
        </row>
        <row r="74">
          <cell r="C74">
            <v>3.3</v>
          </cell>
        </row>
        <row r="76">
          <cell r="C76">
            <v>12.5</v>
          </cell>
        </row>
        <row r="89">
          <cell r="C89">
            <v>16</v>
          </cell>
        </row>
        <row r="90">
          <cell r="C90" t="str">
            <v>Barra Soldada</v>
          </cell>
        </row>
        <row r="97">
          <cell r="C97">
            <v>5</v>
          </cell>
        </row>
        <row r="98">
          <cell r="C98">
            <v>5</v>
          </cell>
        </row>
        <row r="99">
          <cell r="C99">
            <v>2.5</v>
          </cell>
        </row>
        <row r="100">
          <cell r="C100">
            <v>7</v>
          </cell>
        </row>
        <row r="101">
          <cell r="C101">
            <v>15</v>
          </cell>
        </row>
        <row r="102">
          <cell r="C102">
            <v>20</v>
          </cell>
        </row>
        <row r="103">
          <cell r="C103">
            <v>21</v>
          </cell>
        </row>
        <row r="107">
          <cell r="C107" t="str">
            <v>2ª Fase</v>
          </cell>
        </row>
        <row r="108">
          <cell r="C108" t="str">
            <v>Elastômero (Neoprene)</v>
          </cell>
        </row>
        <row r="109">
          <cell r="C109">
            <v>50</v>
          </cell>
        </row>
        <row r="110">
          <cell r="C110" t="str">
            <v>CA-50</v>
          </cell>
        </row>
        <row r="111">
          <cell r="C111" t="str">
            <v>0,85*fcd</v>
          </cell>
        </row>
        <row r="116">
          <cell r="C116">
            <v>1.2</v>
          </cell>
        </row>
        <row r="117">
          <cell r="C117">
            <v>1.4</v>
          </cell>
        </row>
        <row r="118">
          <cell r="C118">
            <v>1.4</v>
          </cell>
        </row>
        <row r="119">
          <cell r="C119">
            <v>1.1499999999999999</v>
          </cell>
        </row>
        <row r="121">
          <cell r="C121">
            <v>15</v>
          </cell>
        </row>
        <row r="128">
          <cell r="C128">
            <v>8.0424771931898711</v>
          </cell>
        </row>
        <row r="129">
          <cell r="C129">
            <v>2.0358132124461799</v>
          </cell>
        </row>
        <row r="133">
          <cell r="C133">
            <v>3.206405809602733</v>
          </cell>
        </row>
        <row r="136">
          <cell r="C136">
            <v>55</v>
          </cell>
        </row>
        <row r="147">
          <cell r="C147">
            <v>23.196619412065861</v>
          </cell>
        </row>
        <row r="148">
          <cell r="C148">
            <v>59</v>
          </cell>
        </row>
        <row r="162">
          <cell r="C162">
            <v>3.206405809602733</v>
          </cell>
        </row>
        <row r="165">
          <cell r="C165">
            <v>22</v>
          </cell>
        </row>
        <row r="176">
          <cell r="C176">
            <v>22</v>
          </cell>
        </row>
        <row r="186">
          <cell r="C186">
            <v>2.4937962484195779</v>
          </cell>
        </row>
        <row r="192">
          <cell r="C192">
            <v>24.285714285714288</v>
          </cell>
        </row>
        <row r="193">
          <cell r="C193">
            <v>4.1505882352941175</v>
          </cell>
        </row>
        <row r="194">
          <cell r="C194">
            <v>15.103294117647058</v>
          </cell>
        </row>
        <row r="195">
          <cell r="C195">
            <v>3.1119691671706526</v>
          </cell>
        </row>
        <row r="196">
          <cell r="C196">
            <v>0.17926089672642009</v>
          </cell>
        </row>
        <row r="197">
          <cell r="C197">
            <v>0.4</v>
          </cell>
        </row>
        <row r="231">
          <cell r="C231">
            <v>3.1172453105244724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9D26C4-7EDC-4D03-B5E9-49F664FB33EF}">
  <sheetPr codeName="Planilha2"/>
  <dimension ref="A1:T35"/>
  <sheetViews>
    <sheetView showGridLines="0" showRowColHeaders="0" tabSelected="1" topLeftCell="B1" zoomScale="110" zoomScaleNormal="110" zoomScaleSheetLayoutView="85" workbookViewId="0"/>
  </sheetViews>
  <sheetFormatPr defaultColWidth="0" defaultRowHeight="15" customHeight="1" zeroHeight="1" x14ac:dyDescent="0.25"/>
  <cols>
    <col min="1" max="1" width="1.7109375" style="4" hidden="1" customWidth="1"/>
    <col min="2" max="2" width="5.7109375" style="4" customWidth="1"/>
    <col min="3" max="3" width="2.7109375" style="4" customWidth="1"/>
    <col min="4" max="19" width="9.140625" style="4" customWidth="1"/>
    <col min="20" max="20" width="0" style="4" hidden="1" customWidth="1"/>
    <col min="21" max="16384" width="9.140625" style="4" hidden="1"/>
  </cols>
  <sheetData>
    <row r="1" spans="3:19" ht="15" customHeight="1" x14ac:dyDescent="0.25"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</row>
    <row r="2" spans="3:19" ht="20.100000000000001" customHeight="1" x14ac:dyDescent="0.25"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</row>
    <row r="3" spans="3:19" ht="15" customHeight="1" x14ac:dyDescent="0.25"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</row>
    <row r="4" spans="3:19" ht="20.100000000000001" customHeight="1" x14ac:dyDescent="0.25">
      <c r="C4" s="38" t="s">
        <v>8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  <c r="Q4" s="39"/>
      <c r="R4" s="40"/>
      <c r="S4" s="3"/>
    </row>
    <row r="5" spans="3:19" ht="15" customHeight="1" x14ac:dyDescent="0.25">
      <c r="C5" s="41" t="s">
        <v>9</v>
      </c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3"/>
      <c r="S5" s="3"/>
    </row>
    <row r="6" spans="3:19" ht="20.100000000000001" customHeight="1" x14ac:dyDescent="0.25">
      <c r="C6" s="44" t="s">
        <v>10</v>
      </c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6"/>
      <c r="S6" s="3"/>
    </row>
    <row r="7" spans="3:19" ht="15" customHeight="1" x14ac:dyDescent="0.25">
      <c r="C7" s="21" t="s">
        <v>11</v>
      </c>
      <c r="D7" s="22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4"/>
    </row>
    <row r="8" spans="3:19" ht="15" customHeight="1" x14ac:dyDescent="0.25">
      <c r="C8" s="21" t="s">
        <v>12</v>
      </c>
      <c r="D8" s="22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5"/>
    </row>
    <row r="9" spans="3:19" ht="15" customHeight="1" x14ac:dyDescent="0.25">
      <c r="C9" s="21" t="s">
        <v>13</v>
      </c>
      <c r="D9" s="22"/>
      <c r="E9" s="26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5"/>
    </row>
    <row r="10" spans="3:19" ht="15" customHeight="1" x14ac:dyDescent="0.25">
      <c r="C10" s="21" t="s">
        <v>14</v>
      </c>
      <c r="D10" s="22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5"/>
    </row>
    <row r="11" spans="3:19" ht="20.100000000000001" customHeight="1" x14ac:dyDescent="0.25">
      <c r="C11" s="18" t="s">
        <v>15</v>
      </c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20"/>
    </row>
    <row r="12" spans="3:19" ht="15" customHeight="1" x14ac:dyDescent="0.25">
      <c r="C12" s="21" t="s">
        <v>16</v>
      </c>
      <c r="D12" s="22"/>
      <c r="E12" s="22"/>
      <c r="F12" s="22"/>
      <c r="G12" s="22"/>
      <c r="H12" s="22"/>
      <c r="I12" s="22"/>
      <c r="J12" s="22"/>
      <c r="K12" s="22"/>
      <c r="L12" s="22"/>
      <c r="M12" s="22"/>
      <c r="N12" s="22"/>
      <c r="O12" s="22"/>
      <c r="P12" s="22"/>
      <c r="Q12" s="22"/>
      <c r="R12" s="27"/>
    </row>
    <row r="13" spans="3:19" ht="15" customHeight="1" x14ac:dyDescent="0.25">
      <c r="C13" s="21" t="s">
        <v>17</v>
      </c>
      <c r="D13" s="22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7"/>
    </row>
    <row r="14" spans="3:19" ht="20.100000000000001" customHeight="1" x14ac:dyDescent="0.25">
      <c r="C14" s="18" t="s">
        <v>18</v>
      </c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20"/>
    </row>
    <row r="15" spans="3:19" ht="15" customHeight="1" x14ac:dyDescent="0.25">
      <c r="C15" s="21" t="s">
        <v>19</v>
      </c>
      <c r="D15" s="22"/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7"/>
    </row>
    <row r="16" spans="3:19" ht="15" customHeight="1" x14ac:dyDescent="0.25">
      <c r="C16" s="21" t="s">
        <v>20</v>
      </c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7"/>
    </row>
    <row r="17" spans="3:20" ht="15" customHeight="1" x14ac:dyDescent="0.25">
      <c r="C17" s="21" t="s">
        <v>21</v>
      </c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7"/>
      <c r="S17" s="5"/>
      <c r="T17" s="5"/>
    </row>
    <row r="18" spans="3:20" ht="15" customHeight="1" x14ac:dyDescent="0.25">
      <c r="C18" s="21" t="s">
        <v>22</v>
      </c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29"/>
    </row>
    <row r="19" spans="3:20" ht="20.100000000000001" customHeight="1" x14ac:dyDescent="0.25">
      <c r="C19" s="18" t="s">
        <v>23</v>
      </c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1"/>
    </row>
    <row r="20" spans="3:20" ht="15" customHeight="1" x14ac:dyDescent="0.25">
      <c r="C20" s="21" t="s">
        <v>24</v>
      </c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2"/>
      <c r="Q20" s="22"/>
      <c r="R20" s="27"/>
    </row>
    <row r="21" spans="3:20" ht="15" customHeight="1" x14ac:dyDescent="0.25">
      <c r="C21" s="21" t="s">
        <v>25</v>
      </c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9"/>
    </row>
    <row r="22" spans="3:20" ht="15" customHeight="1" x14ac:dyDescent="0.25">
      <c r="C22" s="21" t="s">
        <v>26</v>
      </c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7"/>
    </row>
    <row r="23" spans="3:20" ht="15" customHeight="1" x14ac:dyDescent="0.25">
      <c r="C23" s="21" t="s">
        <v>27</v>
      </c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7"/>
    </row>
    <row r="24" spans="3:20" ht="20.100000000000001" customHeight="1" x14ac:dyDescent="0.25">
      <c r="C24" s="18" t="s">
        <v>28</v>
      </c>
      <c r="D24" s="30"/>
      <c r="E24" s="30"/>
      <c r="F24" s="30"/>
      <c r="G24" s="30"/>
      <c r="H24" s="30"/>
      <c r="I24" s="30"/>
      <c r="J24" s="30"/>
      <c r="K24" s="30"/>
      <c r="L24" s="30"/>
      <c r="M24" s="30"/>
      <c r="N24" s="30"/>
      <c r="O24" s="30"/>
      <c r="P24" s="30"/>
      <c r="Q24" s="30"/>
      <c r="R24" s="31"/>
    </row>
    <row r="25" spans="3:20" ht="15" customHeight="1" x14ac:dyDescent="0.25">
      <c r="C25" s="21" t="s">
        <v>29</v>
      </c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9"/>
    </row>
    <row r="26" spans="3:20" ht="15" customHeight="1" x14ac:dyDescent="0.25">
      <c r="C26" s="21" t="s">
        <v>30</v>
      </c>
      <c r="D26"/>
      <c r="E26" s="32"/>
      <c r="F26" s="32"/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12"/>
    </row>
    <row r="27" spans="3:20" ht="15" customHeight="1" x14ac:dyDescent="0.25">
      <c r="C27" s="21" t="s">
        <v>31</v>
      </c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 s="12"/>
    </row>
    <row r="28" spans="3:20" ht="20.100000000000001" customHeight="1" x14ac:dyDescent="0.25">
      <c r="C28" s="18" t="s">
        <v>32</v>
      </c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4"/>
    </row>
    <row r="29" spans="3:20" ht="15" customHeight="1" x14ac:dyDescent="0.25">
      <c r="C29" s="21" t="s">
        <v>33</v>
      </c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 s="16"/>
    </row>
    <row r="30" spans="3:20" ht="15" customHeight="1" x14ac:dyDescent="0.25">
      <c r="C30" s="21" t="s">
        <v>34</v>
      </c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 s="12"/>
    </row>
    <row r="31" spans="3:20" ht="15" customHeight="1" x14ac:dyDescent="0.25">
      <c r="C31" s="21" t="s">
        <v>35</v>
      </c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 s="12"/>
    </row>
    <row r="32" spans="3:20" ht="15" customHeight="1" x14ac:dyDescent="0.25">
      <c r="C32" s="21" t="s">
        <v>36</v>
      </c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 s="12"/>
    </row>
    <row r="33" spans="3:18" ht="15" customHeight="1" x14ac:dyDescent="0.25">
      <c r="C33" s="21" t="s">
        <v>37</v>
      </c>
      <c r="D33" s="35"/>
      <c r="E33" s="17"/>
      <c r="F33"/>
      <c r="G33"/>
      <c r="H33"/>
      <c r="I33"/>
      <c r="J33"/>
      <c r="K33"/>
      <c r="L33"/>
      <c r="M33"/>
      <c r="N33"/>
      <c r="O33"/>
      <c r="P33"/>
      <c r="Q33"/>
      <c r="R33" s="12"/>
    </row>
    <row r="34" spans="3:18" ht="15" customHeight="1" x14ac:dyDescent="0.25">
      <c r="C34" s="36" t="s">
        <v>38</v>
      </c>
      <c r="D34" s="37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5"/>
    </row>
    <row r="35" spans="3:18" x14ac:dyDescent="0.25"/>
  </sheetData>
  <sheetProtection algorithmName="SHA-512" hashValue="uXSVakky37RpYDVnuzEd4wIU0LAb8aZ+CkM/VWTRr/23Wl9ltZMb4zwwyBv91BDgAs04DI3sTF/jn+BCzwNHew==" saltValue="v1L2U+iB36g53nwvJiuYoA==" spinCount="100000" sheet="1" objects="1" scenarios="1" selectLockedCells="1"/>
  <mergeCells count="3">
    <mergeCell ref="C4:R4"/>
    <mergeCell ref="C5:R5"/>
    <mergeCell ref="C6:R6"/>
  </mergeCells>
  <pageMargins left="0.25" right="0.25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B2:I35"/>
  <sheetViews>
    <sheetView showGridLines="0" showRowColHeaders="0" zoomScale="110" zoomScaleNormal="110" zoomScaleSheetLayoutView="100" workbookViewId="0">
      <selection activeCell="B8" sqref="B8"/>
    </sheetView>
  </sheetViews>
  <sheetFormatPr defaultRowHeight="15" x14ac:dyDescent="0.25"/>
  <cols>
    <col min="1" max="1" width="5.7109375" customWidth="1"/>
    <col min="2" max="9" width="17.7109375" customWidth="1"/>
  </cols>
  <sheetData>
    <row r="2" spans="2:9" ht="20.100000000000001" customHeight="1" x14ac:dyDescent="0.25"/>
    <row r="4" spans="2:9" x14ac:dyDescent="0.25">
      <c r="B4" s="47" t="s">
        <v>0</v>
      </c>
      <c r="C4" s="48"/>
      <c r="D4" s="48"/>
      <c r="E4" s="48"/>
      <c r="F4" s="48"/>
      <c r="G4" s="48"/>
      <c r="H4" s="48"/>
      <c r="I4" s="49"/>
    </row>
    <row r="5" spans="2:9" x14ac:dyDescent="0.25">
      <c r="B5" s="11"/>
      <c r="I5" s="12"/>
    </row>
    <row r="6" spans="2:9" x14ac:dyDescent="0.25">
      <c r="B6" s="11"/>
      <c r="I6" s="12"/>
    </row>
    <row r="7" spans="2:9" x14ac:dyDescent="0.25">
      <c r="B7" s="8" t="s">
        <v>1</v>
      </c>
      <c r="C7" s="8" t="s">
        <v>2</v>
      </c>
      <c r="D7" s="8" t="s">
        <v>3</v>
      </c>
      <c r="E7" s="8" t="s">
        <v>4</v>
      </c>
      <c r="F7" s="8" t="s">
        <v>5</v>
      </c>
      <c r="G7" s="8" t="s">
        <v>7</v>
      </c>
      <c r="H7" s="8" t="s">
        <v>6</v>
      </c>
      <c r="I7" s="12"/>
    </row>
    <row r="8" spans="2:9" x14ac:dyDescent="0.25">
      <c r="B8" s="2">
        <v>1</v>
      </c>
      <c r="C8" s="6">
        <v>8821913.5427000001</v>
      </c>
      <c r="D8" s="1">
        <v>69.447800000000001</v>
      </c>
      <c r="E8" s="1">
        <f>150-D8</f>
        <v>80.552199999999999</v>
      </c>
      <c r="F8" s="7">
        <v>3290</v>
      </c>
      <c r="G8" s="9">
        <f>IF(F8&gt;0,F8*0.25,"")</f>
        <v>822.5</v>
      </c>
      <c r="H8" s="10">
        <f>IFERROR(C8/(F8*E8*D8),"")</f>
        <v>0.4793260150740094</v>
      </c>
      <c r="I8" s="12"/>
    </row>
    <row r="9" spans="2:9" x14ac:dyDescent="0.25">
      <c r="B9" s="2">
        <f>IF(AND(C8="",D8="",E8="",F8=""),"",2)</f>
        <v>2</v>
      </c>
      <c r="C9" s="6">
        <v>2550000</v>
      </c>
      <c r="D9" s="1">
        <v>42.635399999999997</v>
      </c>
      <c r="E9" s="1">
        <f>110-D9</f>
        <v>67.364599999999996</v>
      </c>
      <c r="F9" s="7">
        <v>2521.7240000000002</v>
      </c>
      <c r="G9" s="9">
        <f t="shared" ref="G9:G22" si="0">IF(F9&gt;0,F9*0.25,"")</f>
        <v>630.43100000000004</v>
      </c>
      <c r="H9" s="10">
        <f t="shared" ref="H9:H22" si="1">IFERROR(C9/(F9*E9*D9),"")</f>
        <v>0.35207934813528241</v>
      </c>
      <c r="I9" s="12"/>
    </row>
    <row r="10" spans="2:9" x14ac:dyDescent="0.25">
      <c r="B10" s="2">
        <f>IF(AND(C9="",D9="",E9="",F9=""),"",3)</f>
        <v>3</v>
      </c>
      <c r="C10" s="6"/>
      <c r="D10" s="1"/>
      <c r="E10" s="1"/>
      <c r="F10" s="7"/>
      <c r="G10" s="9" t="str">
        <f t="shared" si="0"/>
        <v/>
      </c>
      <c r="H10" s="10" t="str">
        <f t="shared" si="1"/>
        <v/>
      </c>
      <c r="I10" s="12"/>
    </row>
    <row r="11" spans="2:9" x14ac:dyDescent="0.25">
      <c r="B11" s="2" t="str">
        <f>IF(AND(C10="",D10="",E10="",F10=""),"",4)</f>
        <v/>
      </c>
      <c r="C11" s="6"/>
      <c r="D11" s="1"/>
      <c r="E11" s="1"/>
      <c r="F11" s="7"/>
      <c r="G11" s="9" t="str">
        <f t="shared" si="0"/>
        <v/>
      </c>
      <c r="H11" s="10" t="str">
        <f t="shared" si="1"/>
        <v/>
      </c>
      <c r="I11" s="12"/>
    </row>
    <row r="12" spans="2:9" x14ac:dyDescent="0.25">
      <c r="B12" s="2" t="str">
        <f>IF(AND(C11="",D11="",E11="",F11=""),"",5)</f>
        <v/>
      </c>
      <c r="C12" s="6"/>
      <c r="D12" s="1"/>
      <c r="E12" s="1"/>
      <c r="F12" s="7"/>
      <c r="G12" s="9" t="str">
        <f t="shared" si="0"/>
        <v/>
      </c>
      <c r="H12" s="10" t="str">
        <f t="shared" si="1"/>
        <v/>
      </c>
      <c r="I12" s="12"/>
    </row>
    <row r="13" spans="2:9" x14ac:dyDescent="0.25">
      <c r="B13" s="2" t="str">
        <f>IF(AND(C12="",D12="",E12="",F12=""),"",6)</f>
        <v/>
      </c>
      <c r="C13" s="6"/>
      <c r="D13" s="1"/>
      <c r="E13" s="1"/>
      <c r="F13" s="7"/>
      <c r="G13" s="9" t="str">
        <f t="shared" si="0"/>
        <v/>
      </c>
      <c r="H13" s="10" t="str">
        <f t="shared" si="1"/>
        <v/>
      </c>
      <c r="I13" s="12"/>
    </row>
    <row r="14" spans="2:9" x14ac:dyDescent="0.25">
      <c r="B14" s="2" t="str">
        <f>IF(AND(C13="",D13="",E13="",F13=""),"",7)</f>
        <v/>
      </c>
      <c r="C14" s="6"/>
      <c r="D14" s="1"/>
      <c r="E14" s="1"/>
      <c r="F14" s="7"/>
      <c r="G14" s="9" t="str">
        <f t="shared" si="0"/>
        <v/>
      </c>
      <c r="H14" s="10" t="str">
        <f t="shared" si="1"/>
        <v/>
      </c>
      <c r="I14" s="12"/>
    </row>
    <row r="15" spans="2:9" x14ac:dyDescent="0.25">
      <c r="B15" s="2" t="str">
        <f>IF(AND(C14="",D14="",E14="",F14=""),"",8)</f>
        <v/>
      </c>
      <c r="C15" s="6"/>
      <c r="D15" s="1"/>
      <c r="E15" s="1"/>
      <c r="F15" s="7"/>
      <c r="G15" s="9" t="str">
        <f t="shared" si="0"/>
        <v/>
      </c>
      <c r="H15" s="10" t="str">
        <f t="shared" si="1"/>
        <v/>
      </c>
      <c r="I15" s="12"/>
    </row>
    <row r="16" spans="2:9" x14ac:dyDescent="0.25">
      <c r="B16" s="2" t="str">
        <f>IF(AND(C15="",D15="",E15="",F15=""),"",9)</f>
        <v/>
      </c>
      <c r="C16" s="6"/>
      <c r="D16" s="1"/>
      <c r="E16" s="1"/>
      <c r="F16" s="7"/>
      <c r="G16" s="9" t="str">
        <f t="shared" si="0"/>
        <v/>
      </c>
      <c r="H16" s="10" t="str">
        <f t="shared" si="1"/>
        <v/>
      </c>
      <c r="I16" s="12"/>
    </row>
    <row r="17" spans="2:9" x14ac:dyDescent="0.25">
      <c r="B17" s="2" t="str">
        <f>IF(AND(C16="",D16="",E16="",F16=""),"",10)</f>
        <v/>
      </c>
      <c r="C17" s="6"/>
      <c r="D17" s="1"/>
      <c r="E17" s="1"/>
      <c r="F17" s="7"/>
      <c r="G17" s="9" t="str">
        <f t="shared" si="0"/>
        <v/>
      </c>
      <c r="H17" s="10" t="str">
        <f t="shared" si="1"/>
        <v/>
      </c>
      <c r="I17" s="12"/>
    </row>
    <row r="18" spans="2:9" x14ac:dyDescent="0.25">
      <c r="B18" s="2" t="str">
        <f>IF(AND(C17="",D17="",E17="",F17=""),"",11)</f>
        <v/>
      </c>
      <c r="C18" s="6"/>
      <c r="D18" s="1"/>
      <c r="E18" s="1"/>
      <c r="F18" s="7"/>
      <c r="G18" s="9" t="str">
        <f t="shared" si="0"/>
        <v/>
      </c>
      <c r="H18" s="10" t="str">
        <f t="shared" si="1"/>
        <v/>
      </c>
      <c r="I18" s="12"/>
    </row>
    <row r="19" spans="2:9" x14ac:dyDescent="0.25">
      <c r="B19" s="2" t="str">
        <f>IF(AND(C18="",D18="",E18="",F18=""),"",12)</f>
        <v/>
      </c>
      <c r="C19" s="6"/>
      <c r="D19" s="1"/>
      <c r="E19" s="1"/>
      <c r="F19" s="7"/>
      <c r="G19" s="9" t="str">
        <f t="shared" si="0"/>
        <v/>
      </c>
      <c r="H19" s="10" t="str">
        <f t="shared" si="1"/>
        <v/>
      </c>
      <c r="I19" s="12"/>
    </row>
    <row r="20" spans="2:9" x14ac:dyDescent="0.25">
      <c r="B20" s="2" t="str">
        <f>IF(AND(C19="",D19="",E19="",F19=""),"",13)</f>
        <v/>
      </c>
      <c r="C20" s="6"/>
      <c r="D20" s="1"/>
      <c r="E20" s="1"/>
      <c r="F20" s="7"/>
      <c r="G20" s="9" t="str">
        <f t="shared" si="0"/>
        <v/>
      </c>
      <c r="H20" s="10" t="str">
        <f t="shared" si="1"/>
        <v/>
      </c>
      <c r="I20" s="12"/>
    </row>
    <row r="21" spans="2:9" x14ac:dyDescent="0.25">
      <c r="B21" s="2" t="str">
        <f>IF(AND(C20="",D20="",E20="",F20=""),"",14)</f>
        <v/>
      </c>
      <c r="C21" s="6"/>
      <c r="D21" s="1"/>
      <c r="E21" s="1"/>
      <c r="F21" s="7"/>
      <c r="G21" s="9" t="str">
        <f t="shared" si="0"/>
        <v/>
      </c>
      <c r="H21" s="10" t="str">
        <f t="shared" si="1"/>
        <v/>
      </c>
      <c r="I21" s="12"/>
    </row>
    <row r="22" spans="2:9" x14ac:dyDescent="0.25">
      <c r="B22" s="2" t="str">
        <f>IF(AND(C21="",D21="",E21="",F21=""),"",15)</f>
        <v/>
      </c>
      <c r="C22" s="6"/>
      <c r="D22" s="1"/>
      <c r="E22" s="1"/>
      <c r="F22" s="7"/>
      <c r="G22" s="9" t="str">
        <f t="shared" si="0"/>
        <v/>
      </c>
      <c r="H22" s="10" t="str">
        <f t="shared" si="1"/>
        <v/>
      </c>
      <c r="I22" s="12"/>
    </row>
    <row r="23" spans="2:9" x14ac:dyDescent="0.25">
      <c r="B23" s="11"/>
      <c r="I23" s="12"/>
    </row>
    <row r="24" spans="2:9" x14ac:dyDescent="0.25">
      <c r="B24" s="11"/>
      <c r="I24" s="12"/>
    </row>
    <row r="25" spans="2:9" x14ac:dyDescent="0.25">
      <c r="B25" s="11"/>
      <c r="I25" s="12"/>
    </row>
    <row r="26" spans="2:9" x14ac:dyDescent="0.25">
      <c r="B26" s="11"/>
      <c r="I26" s="12"/>
    </row>
    <row r="27" spans="2:9" x14ac:dyDescent="0.25">
      <c r="B27" s="11"/>
      <c r="I27" s="12"/>
    </row>
    <row r="28" spans="2:9" x14ac:dyDescent="0.25">
      <c r="B28" s="11"/>
      <c r="I28" s="12"/>
    </row>
    <row r="29" spans="2:9" x14ac:dyDescent="0.25">
      <c r="B29" s="11"/>
      <c r="I29" s="12"/>
    </row>
    <row r="30" spans="2:9" x14ac:dyDescent="0.25">
      <c r="B30" s="11"/>
      <c r="I30" s="12"/>
    </row>
    <row r="31" spans="2:9" x14ac:dyDescent="0.25">
      <c r="B31" s="11"/>
      <c r="I31" s="12"/>
    </row>
    <row r="32" spans="2:9" x14ac:dyDescent="0.25">
      <c r="B32" s="11"/>
      <c r="I32" s="12"/>
    </row>
    <row r="33" spans="2:9" x14ac:dyDescent="0.25">
      <c r="B33" s="11"/>
      <c r="I33" s="12"/>
    </row>
    <row r="34" spans="2:9" x14ac:dyDescent="0.25">
      <c r="B34" s="11"/>
      <c r="I34" s="12"/>
    </row>
    <row r="35" spans="2:9" x14ac:dyDescent="0.25">
      <c r="B35" s="13"/>
      <c r="C35" s="14"/>
      <c r="D35" s="14"/>
      <c r="E35" s="14"/>
      <c r="F35" s="14"/>
      <c r="G35" s="14"/>
      <c r="H35" s="14"/>
      <c r="I35" s="15"/>
    </row>
  </sheetData>
  <sheetProtection algorithmName="SHA-512" hashValue="q6h0RNwCA6BXhquzR5xp8u7IPKh9Ka2euPeTXNUQRWT768XfaE+kBidXm3im+1Kgx+XUTcgjSd7Mm29wWUC5EA==" saltValue="uO/ucCewoG3ibMU/OWzjiw==" spinCount="100000" sheet="1" objects="1" scenarios="1" selectLockedCells="1"/>
  <mergeCells count="1">
    <mergeCell ref="B4:I4"/>
  </mergeCells>
  <conditionalFormatting sqref="B22:H22">
    <cfRule type="expression" dxfId="15" priority="17">
      <formula>$C$21=""</formula>
    </cfRule>
  </conditionalFormatting>
  <conditionalFormatting sqref="B21:H21">
    <cfRule type="expression" dxfId="14" priority="16">
      <formula>$C$20=""</formula>
    </cfRule>
  </conditionalFormatting>
  <conditionalFormatting sqref="B20:H20">
    <cfRule type="expression" dxfId="13" priority="15">
      <formula>$C$19=""</formula>
    </cfRule>
  </conditionalFormatting>
  <conditionalFormatting sqref="B19:H19">
    <cfRule type="expression" dxfId="12" priority="14">
      <formula>$C$18=""</formula>
    </cfRule>
  </conditionalFormatting>
  <conditionalFormatting sqref="B18:H18">
    <cfRule type="expression" dxfId="11" priority="13">
      <formula>$C$17=""</formula>
    </cfRule>
  </conditionalFormatting>
  <conditionalFormatting sqref="B17:H17">
    <cfRule type="expression" dxfId="10" priority="12">
      <formula>$C$16=""</formula>
    </cfRule>
  </conditionalFormatting>
  <conditionalFormatting sqref="B16:H16">
    <cfRule type="expression" dxfId="9" priority="10">
      <formula>$C$15=""</formula>
    </cfRule>
  </conditionalFormatting>
  <conditionalFormatting sqref="B15:H15">
    <cfRule type="expression" dxfId="8" priority="9">
      <formula>$C$14=""</formula>
    </cfRule>
  </conditionalFormatting>
  <conditionalFormatting sqref="B14:H14">
    <cfRule type="expression" dxfId="7" priority="8">
      <formula>$C$13=""</formula>
    </cfRule>
  </conditionalFormatting>
  <conditionalFormatting sqref="B13:H13">
    <cfRule type="expression" dxfId="6" priority="7">
      <formula>$C$12=""</formula>
    </cfRule>
  </conditionalFormatting>
  <conditionalFormatting sqref="B12:H12">
    <cfRule type="expression" dxfId="5" priority="6">
      <formula>$C$11=""</formula>
    </cfRule>
  </conditionalFormatting>
  <conditionalFormatting sqref="B11:H11">
    <cfRule type="expression" dxfId="4" priority="5">
      <formula>$C$10=""</formula>
    </cfRule>
  </conditionalFormatting>
  <conditionalFormatting sqref="B10:H10">
    <cfRule type="expression" dxfId="3" priority="4">
      <formula>$C$9=""</formula>
    </cfRule>
  </conditionalFormatting>
  <conditionalFormatting sqref="B9:H9">
    <cfRule type="expression" dxfId="2" priority="3">
      <formula>$C$8=""</formula>
    </cfRule>
  </conditionalFormatting>
  <conditionalFormatting sqref="H8:H22">
    <cfRule type="top10" dxfId="1" priority="2" rank="1"/>
    <cfRule type="top10" dxfId="0" priority="1" bottom="1" rank="1"/>
  </conditionalFormatting>
  <pageMargins left="0.25" right="0.25" top="0.75" bottom="0.75" header="0.3" footer="0.3"/>
  <pageSetup paperSize="9" orientation="landscape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2</vt:i4>
      </vt:variant>
    </vt:vector>
  </HeadingPairs>
  <TitlesOfParts>
    <vt:vector size="4" baseType="lpstr">
      <vt:lpstr>Início</vt:lpstr>
      <vt:lpstr>Guyon</vt:lpstr>
      <vt:lpstr>Guyon!Area_de_impressao</vt:lpstr>
      <vt:lpstr>Início!Area_de_impressao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Projetos01</dc:creator>
  <cp:lastModifiedBy>Guilherme Luiz Nardelli</cp:lastModifiedBy>
  <cp:lastPrinted>2021-07-08T12:35:36Z</cp:lastPrinted>
  <dcterms:created xsi:type="dcterms:W3CDTF">2015-06-05T18:19:34Z</dcterms:created>
  <dcterms:modified xsi:type="dcterms:W3CDTF">2024-01-31T01:46:24Z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2023-02-09T20:38:11Z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a796cfe6-0fef-412d-bb4d-50d43602c5de</vt:lpwstr>
  </property>
  <property fmtid="{D5CDD505-2E9C-101B-9397-08002B2CF9AE}" pid="7" name="MSIP_Label_defa4170-0d19-0005-0004-bc88714345d2_ActionId">
    <vt:lpwstr>ea6a7c87-ba62-4f69-a764-729b96e8ddad</vt:lpwstr>
  </property>
  <property fmtid="{D5CDD505-2E9C-101B-9397-08002B2CF9AE}" pid="8" name="MSIP_Label_defa4170-0d19-0005-0004-bc88714345d2_ContentBits">
    <vt:lpwstr>0</vt:lpwstr>
  </property>
</Properties>
</file>