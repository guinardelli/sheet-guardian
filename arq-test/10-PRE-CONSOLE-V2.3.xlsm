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E:\50-Biblioteca-Tecnica\50-Planilhas\10-GN-ESTRUTURAS\10-Pre-moldado\"/>
    </mc:Choice>
  </mc:AlternateContent>
  <xr:revisionPtr revIDLastSave="0" documentId="13_ncr:1_{1D0B5A7F-8E75-479D-BD9B-66FEA73DCD02}" xr6:coauthVersionLast="47" xr6:coauthVersionMax="47" xr10:uidLastSave="{00000000-0000-0000-0000-000000000000}"/>
  <bookViews>
    <workbookView showSheetTabs="0" xWindow="-120" yWindow="-120" windowWidth="38640" windowHeight="21120" activeTab="1" xr2:uid="{00000000-000D-0000-FFFF-FFFF00000000}"/>
  </bookViews>
  <sheets>
    <sheet name="Início" sheetId="4" r:id="rId1"/>
    <sheet name="Consoles" sheetId="2" r:id="rId2"/>
    <sheet name="Dados" sheetId="13" r:id="rId3"/>
    <sheet name="b15" sheetId="5" r:id="rId4"/>
    <sheet name="b20" sheetId="6" r:id="rId5"/>
    <sheet name="b25" sheetId="7" r:id="rId6"/>
    <sheet name="b30" sheetId="8" r:id="rId7"/>
    <sheet name="b40" sheetId="9" r:id="rId8"/>
    <sheet name="misula" sheetId="10" r:id="rId9"/>
    <sheet name="Neoprene" sheetId="11" r:id="rId10"/>
    <sheet name="acesso" sheetId="12" r:id="rId11"/>
    <sheet name="Cálculo" sheetId="1" r:id="rId12"/>
  </sheets>
  <definedNames>
    <definedName name="a.">Cálculo!$C$194</definedName>
    <definedName name="a.1">Cálculo!$C$193</definedName>
    <definedName name="a_d">Consoles!$F$19</definedName>
    <definedName name="AB">Cálculo!$C$7</definedName>
    <definedName name="abie">Cálculo!$C$12</definedName>
    <definedName name="AC">Cálculo!$C$9</definedName>
    <definedName name="aço">Cálculo!$C$110</definedName>
    <definedName name="AD">Cálculo!$C$8</definedName>
    <definedName name="aderência">Consoles!$I$12</definedName>
    <definedName name="alfa">Cálculo!$C$5</definedName>
    <definedName name="anc.reta1">Cálculo!$C$136</definedName>
    <definedName name="anc.reta2">Cálculo!$C$165</definedName>
    <definedName name="Anc.tir">Cálculo!$C$90</definedName>
    <definedName name="aparelho">Cálculo!$C$108</definedName>
    <definedName name="aparelho.an">Cálculo!$C$101</definedName>
    <definedName name="aparelho.bn">Cálculo!$C$102</definedName>
    <definedName name="aparelho.e1">Cálculo!$C$97</definedName>
    <definedName name="aparelho.e2">Cálculo!$C$98</definedName>
    <definedName name="aparelho.e3">Cálculo!$C$99</definedName>
    <definedName name="aparelho.esp">Cálculo!$C$96</definedName>
    <definedName name="aparelho.nkmax">Cálculo!$C$103</definedName>
    <definedName name="aparelho.tmax">Cálculo!$C$100</definedName>
    <definedName name="_xlnm.Print_Area" localSheetId="3">'b15'!$B$4:$R$31</definedName>
    <definedName name="_xlnm.Print_Area" localSheetId="4">'b20'!$B$4:$S$34</definedName>
    <definedName name="_xlnm.Print_Area" localSheetId="5">'b25'!$B$4:$S$34</definedName>
    <definedName name="_xlnm.Print_Area" localSheetId="6">'b30'!$B$4:$S$32</definedName>
    <definedName name="_xlnm.Print_Area" localSheetId="7">'b40'!$B$4:$S$33</definedName>
    <definedName name="_xlnm.Print_Area" localSheetId="1">Consoles!$B$4:$I$164</definedName>
    <definedName name="_xlnm.Print_Area" localSheetId="0">Início!$B$4:$Q$34</definedName>
    <definedName name="_xlnm.Print_Area" localSheetId="8">misula!$B$4:$S$25</definedName>
    <definedName name="_xlnm.Print_Area" localSheetId="9">Neoprene!$B$4:$R$22</definedName>
    <definedName name="arm.tir">Cálculo!$C$89</definedName>
    <definedName name="as.cost">Cálculo!$C$25</definedName>
    <definedName name="as.cost.adotado">Cálculo!$C$231</definedName>
    <definedName name="as.cost.muitocurto">Cálculo!$C$55</definedName>
    <definedName name="as.est.muitocurtor">Cálculo!$C$56</definedName>
    <definedName name="as.estr">Cálculo!$C$26</definedName>
    <definedName name="as.tir">Cálculo!$C$21</definedName>
    <definedName name="as.tirmuitocurto">Cálculo!$C$51</definedName>
    <definedName name="asestr.adotado">Cálculo!$C$186</definedName>
    <definedName name="Ash">Cálculo!$C$20</definedName>
    <definedName name="astir.adotado">Cálculo!$C$128</definedName>
    <definedName name="astir.min">Cálculo!$C$24</definedName>
    <definedName name="astir.min.muitocurto">Cálculo!$C$54</definedName>
    <definedName name="Asv">Cálculo!$C$19</definedName>
    <definedName name="asv.muitocurto">Cálculo!$C$50</definedName>
    <definedName name="BD">Cálculo!$C$6</definedName>
    <definedName name="cobr">Cálculo!$C$73</definedName>
    <definedName name="comprimento">Cálculo!$C$71</definedName>
    <definedName name="cost.lb.final">Cálculo!$C$176</definedName>
    <definedName name="cota.A">Cálculo!$C$76</definedName>
    <definedName name="d.util">Consoles!$E$19</definedName>
    <definedName name="Diam.cost">Consoles!$F$34</definedName>
    <definedName name="Diam.estr">Consoles!$F$35</definedName>
    <definedName name="Diam.tir">Consoles!$F$33</definedName>
    <definedName name="dlinha">Cálculo!$C$74</definedName>
    <definedName name="entrada.1">Consoles!$C$6</definedName>
    <definedName name="entrada.10">Consoles!$I$6</definedName>
    <definedName name="entrada.11">Consoles!$I$7</definedName>
    <definedName name="entrada.12">Consoles!$I$8</definedName>
    <definedName name="entrada.13">Consoles!$I$9</definedName>
    <definedName name="entrada.14">Consoles!$I$10</definedName>
    <definedName name="entrada.15">Consoles!$I$11</definedName>
    <definedName name="entrada.16">Consoles!$I$14</definedName>
    <definedName name="entrada.17">Consoles!$I$15</definedName>
    <definedName name="entrada.18">Consoles!$I$16</definedName>
    <definedName name="entrada.19">Consoles!$I$17</definedName>
    <definedName name="entrada.2">Consoles!$C$7</definedName>
    <definedName name="entrada.20">Consoles!$I$18</definedName>
    <definedName name="entrada.21">Consoles!$I$19</definedName>
    <definedName name="entrada.22">Consoles!$E$33</definedName>
    <definedName name="entrada.23">Consoles!$G$33</definedName>
    <definedName name="entrada.24">Consoles!$I$33</definedName>
    <definedName name="entrada.25">Consoles!$E$34</definedName>
    <definedName name="entrada.26">Consoles!$G$34</definedName>
    <definedName name="entrada.27">Consoles!$I$34</definedName>
    <definedName name="entrada.28">Consoles!$E$35</definedName>
    <definedName name="entrada.29">Consoles!$G$35</definedName>
    <definedName name="entrada.3">Consoles!$C$9</definedName>
    <definedName name="entrada.4">Consoles!$C$10</definedName>
    <definedName name="entrada.5">Consoles!$C$11</definedName>
    <definedName name="entrada.6">Consoles!$C$12</definedName>
    <definedName name="entrada.7">Consoles!$C$15</definedName>
    <definedName name="entrada.8">Consoles!$C$16</definedName>
    <definedName name="entrada.9">Consoles!$B$19</definedName>
    <definedName name="fase">Cálculo!$C$107</definedName>
    <definedName name="fbd.1">Cálculo!$C$133</definedName>
    <definedName name="fbd.2">Cálculo!$C$162</definedName>
    <definedName name="fcd">Cálculo!$C$16</definedName>
    <definedName name="fcd.1">Cálculo!$C$192</definedName>
    <definedName name="fcd.calc">Cálculo!$K$15</definedName>
    <definedName name="fcd.muitocurto">Cálculo!$C$42</definedName>
    <definedName name="fck">Cálculo!$C$109</definedName>
    <definedName name="fctd">Cálculo!$C$129</definedName>
    <definedName name="Fsd">Cálculo!$C$3</definedName>
    <definedName name="fyd">Cálculo!$C$18</definedName>
    <definedName name="fyk">Cálculo!$C$17</definedName>
    <definedName name="gancho.cost">Consoles!$H$34</definedName>
    <definedName name="gancho.tir">Consoles!$H$33</definedName>
    <definedName name="h">Cálculo!$C$70</definedName>
    <definedName name="hbie">Cálculo!$C$11</definedName>
    <definedName name="Hsd">Cálculo!$C$4</definedName>
    <definedName name="largura">Cálculo!$C$72</definedName>
    <definedName name="lim.mbt">Cálculo!$C$111</definedName>
    <definedName name="linhaneutra">Cálculo!$C$195</definedName>
    <definedName name="mi">Cálculo!$C$49</definedName>
    <definedName name="Nk">Cálculo!$C$121</definedName>
    <definedName name="px">Cálculo!$C$84</definedName>
    <definedName name="qtd.cost">Consoles!$D$34</definedName>
    <definedName name="qtd.estr">Consoles!$D$35</definedName>
    <definedName name="qtd.tir">Consoles!$D$33</definedName>
    <definedName name="Rcd">Cálculo!$C$13</definedName>
    <definedName name="sigma.bie">Cálculo!$C$14</definedName>
    <definedName name="taxa.arm">Cálculo!$C$22</definedName>
    <definedName name="taxa.arm.muitocurto">Cálculo!$C$52</definedName>
    <definedName name="taxa.mec">Cálculo!$C$23</definedName>
    <definedName name="taxa.mec.muitocurto">Cálculo!$C$53</definedName>
    <definedName name="teta">Cálculo!$C$10</definedName>
    <definedName name="tipologia">Consoles!$G$19</definedName>
    <definedName name="tir.lb.final">Cálculo!$C$147</definedName>
    <definedName name="tirante.c.total">Cálculo!$C$148</definedName>
    <definedName name="twd">Cálculo!$C$40</definedName>
    <definedName name="twu.1">Cálculo!$C$43</definedName>
    <definedName name="twu.2">Cálculo!$C$44</definedName>
    <definedName name="twu.3">Cálculo!$C$45</definedName>
    <definedName name="x_d">Cálculo!$C$196</definedName>
    <definedName name="x_d.lim">Cálculo!$C$197</definedName>
    <definedName name="yc">Cálculo!$C$118</definedName>
    <definedName name="yconc">Cálculo!$C$116</definedName>
    <definedName name="yk">Cálculo!$C$117</definedName>
    <definedName name="ys">Cálculo!$C$119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" i="2" l="1"/>
  <c r="H30" i="2"/>
  <c r="C149" i="1"/>
  <c r="P17" i="11" l="1"/>
  <c r="O17" i="11"/>
  <c r="T17" i="11" s="1"/>
  <c r="XFD17" i="11" s="1"/>
  <c r="P16" i="11"/>
  <c r="O16" i="11"/>
  <c r="T16" i="11" s="1"/>
  <c r="XFD16" i="11" s="1"/>
  <c r="P15" i="11"/>
  <c r="O15" i="11"/>
  <c r="T15" i="11" s="1"/>
  <c r="XFD15" i="11" s="1"/>
  <c r="P14" i="11"/>
  <c r="O14" i="11"/>
  <c r="T14" i="11" s="1"/>
  <c r="XFD14" i="11" s="1"/>
  <c r="T13" i="11"/>
  <c r="XFD13" i="11" s="1"/>
  <c r="P13" i="11"/>
  <c r="O13" i="11"/>
  <c r="T12" i="11"/>
  <c r="XFD12" i="11" s="1"/>
  <c r="P12" i="11"/>
  <c r="O12" i="11"/>
  <c r="P11" i="11"/>
  <c r="O11" i="11"/>
  <c r="P10" i="11"/>
  <c r="O10" i="11"/>
  <c r="P9" i="11"/>
  <c r="O9" i="11"/>
  <c r="T9" i="11" s="1"/>
  <c r="XFD9" i="11" s="1"/>
  <c r="P8" i="11"/>
  <c r="O8" i="11"/>
  <c r="T8" i="11" s="1"/>
  <c r="XFD8" i="11" s="1"/>
  <c r="P7" i="11"/>
  <c r="O7" i="11"/>
  <c r="P6" i="11"/>
  <c r="O6" i="11"/>
  <c r="T6" i="11" s="1"/>
  <c r="XFD6" i="11" s="1"/>
  <c r="Q12" i="11" l="1"/>
  <c r="Q13" i="11"/>
  <c r="Q10" i="11"/>
  <c r="Q11" i="11"/>
  <c r="T7" i="11"/>
  <c r="XFD7" i="11" s="1"/>
  <c r="Q9" i="11"/>
  <c r="T10" i="11"/>
  <c r="XFD10" i="11" s="1"/>
  <c r="T11" i="11"/>
  <c r="XFD11" i="11" s="1"/>
  <c r="Q17" i="11"/>
  <c r="Q8" i="11"/>
  <c r="Q16" i="11"/>
  <c r="Q15" i="11"/>
  <c r="Q7" i="11"/>
  <c r="Q6" i="11"/>
  <c r="Q14" i="11"/>
  <c r="C230" i="1" l="1"/>
  <c r="C229" i="1"/>
  <c r="C228" i="1"/>
  <c r="C231" i="1" l="1"/>
  <c r="C185" i="1"/>
  <c r="C184" i="1"/>
  <c r="C183" i="1"/>
  <c r="C186" i="1" l="1"/>
  <c r="C197" i="1"/>
  <c r="C163" i="1" l="1"/>
  <c r="C161" i="1"/>
  <c r="C156" i="1" l="1"/>
  <c r="C155" i="1"/>
  <c r="C127" i="1" l="1"/>
  <c r="C134" i="1"/>
  <c r="C132" i="1"/>
  <c r="C108" i="2" l="1"/>
  <c r="C57" i="2"/>
  <c r="C39" i="2"/>
  <c r="C59" i="2" l="1"/>
  <c r="C84" i="1"/>
  <c r="C117" i="1" l="1"/>
  <c r="C100" i="2" s="1"/>
  <c r="C121" i="1" l="1"/>
  <c r="C119" i="1"/>
  <c r="C118" i="1"/>
  <c r="C111" i="1"/>
  <c r="C110" i="1"/>
  <c r="C130" i="1" s="1"/>
  <c r="C159" i="1" s="1"/>
  <c r="C109" i="1"/>
  <c r="C108" i="1"/>
  <c r="K10" i="1" s="1"/>
  <c r="C107" i="1"/>
  <c r="C100" i="1"/>
  <c r="C99" i="1"/>
  <c r="C98" i="1"/>
  <c r="C97" i="1"/>
  <c r="C96" i="1"/>
  <c r="C90" i="1"/>
  <c r="C89" i="1"/>
  <c r="C73" i="1"/>
  <c r="C72" i="1"/>
  <c r="C71" i="1"/>
  <c r="C70" i="1"/>
  <c r="I12" i="2"/>
  <c r="C131" i="1" s="1"/>
  <c r="C160" i="1" s="1"/>
  <c r="C151" i="1" l="1"/>
  <c r="C74" i="1"/>
  <c r="C221" i="1"/>
  <c r="C189" i="1"/>
  <c r="C78" i="1"/>
  <c r="C80" i="1"/>
  <c r="C79" i="1"/>
  <c r="C203" i="1"/>
  <c r="C205" i="1"/>
  <c r="C206" i="1" s="1"/>
  <c r="C204" i="1"/>
  <c r="C129" i="1"/>
  <c r="C158" i="1" s="1"/>
  <c r="C162" i="1" s="1"/>
  <c r="C192" i="1"/>
  <c r="C53" i="2"/>
  <c r="C94" i="2"/>
  <c r="C91" i="2"/>
  <c r="C44" i="2"/>
  <c r="C85" i="2"/>
  <c r="C47" i="2"/>
  <c r="C88" i="2"/>
  <c r="C51" i="2"/>
  <c r="C92" i="2"/>
  <c r="C52" i="2"/>
  <c r="C93" i="2"/>
  <c r="C13" i="2"/>
  <c r="C50" i="2"/>
  <c r="C58" i="2" l="1"/>
  <c r="C99" i="2"/>
  <c r="C81" i="1"/>
  <c r="C207" i="1" s="1"/>
  <c r="C133" i="1"/>
  <c r="C42" i="1"/>
  <c r="C56" i="1"/>
  <c r="C49" i="1"/>
  <c r="C112" i="2" s="1"/>
  <c r="C41" i="1"/>
  <c r="C84" i="2" s="1"/>
  <c r="C26" i="1"/>
  <c r="C17" i="1"/>
  <c r="C165" i="1" s="1"/>
  <c r="C167" i="1" l="1"/>
  <c r="C172" i="1" s="1"/>
  <c r="C166" i="1"/>
  <c r="C87" i="2"/>
  <c r="C136" i="1"/>
  <c r="C61" i="1"/>
  <c r="C119" i="2"/>
  <c r="C44" i="1"/>
  <c r="C107" i="2" s="1"/>
  <c r="C86" i="2"/>
  <c r="C31" i="1"/>
  <c r="C80" i="2"/>
  <c r="C18" i="1"/>
  <c r="C89" i="2" s="1"/>
  <c r="C46" i="2"/>
  <c r="C47" i="1"/>
  <c r="C110" i="2" s="1"/>
  <c r="K15" i="1"/>
  <c r="K13" i="1" s="1"/>
  <c r="C15" i="1"/>
  <c r="C43" i="2" s="1"/>
  <c r="C102" i="1"/>
  <c r="I23" i="2" s="1"/>
  <c r="C101" i="1"/>
  <c r="I22" i="2" s="1"/>
  <c r="C173" i="1" l="1"/>
  <c r="C174" i="1" s="1"/>
  <c r="C138" i="1"/>
  <c r="C143" i="1" s="1"/>
  <c r="C137" i="1"/>
  <c r="C19" i="2"/>
  <c r="C76" i="1" s="1"/>
  <c r="C48" i="1"/>
  <c r="C111" i="2" s="1"/>
  <c r="C48" i="2"/>
  <c r="C103" i="1"/>
  <c r="I21" i="2" s="1"/>
  <c r="K14" i="1"/>
  <c r="C188" i="1" l="1"/>
  <c r="C178" i="1"/>
  <c r="C144" i="1"/>
  <c r="C145" i="1" s="1"/>
  <c r="C116" i="1"/>
  <c r="C101" i="2" s="1"/>
  <c r="C96" i="2" l="1"/>
  <c r="C95" i="2"/>
  <c r="C3" i="1"/>
  <c r="C60" i="2"/>
  <c r="C55" i="2"/>
  <c r="C54" i="2"/>
  <c r="D19" i="2"/>
  <c r="E19" i="2" s="1"/>
  <c r="C179" i="1" s="1"/>
  <c r="C38" i="1"/>
  <c r="C103" i="2" s="1"/>
  <c r="C150" i="1" l="1"/>
  <c r="C82" i="1"/>
  <c r="C208" i="1" s="1"/>
  <c r="C209" i="1" s="1"/>
  <c r="C210" i="1" s="1"/>
  <c r="C211" i="1" s="1"/>
  <c r="C212" i="1" s="1"/>
  <c r="C213" i="1" s="1"/>
  <c r="C201" i="1"/>
  <c r="C75" i="1"/>
  <c r="C4" i="1"/>
  <c r="C5" i="1" s="1"/>
  <c r="C193" i="1"/>
  <c r="C62" i="2"/>
  <c r="C39" i="1"/>
  <c r="C104" i="2" s="1"/>
  <c r="C19" i="1"/>
  <c r="C40" i="1"/>
  <c r="C105" i="2" s="1"/>
  <c r="C50" i="1"/>
  <c r="F19" i="2"/>
  <c r="G19" i="2"/>
  <c r="H86" i="2" s="1"/>
  <c r="C215" i="1" l="1"/>
  <c r="C24" i="1" s="1"/>
  <c r="C78" i="2" s="1"/>
  <c r="H45" i="2"/>
  <c r="G13" i="2"/>
  <c r="G7" i="2"/>
  <c r="G14" i="2"/>
  <c r="G6" i="2"/>
  <c r="G8" i="2"/>
  <c r="H53" i="2"/>
  <c r="H94" i="2"/>
  <c r="C194" i="1"/>
  <c r="C195" i="1" s="1"/>
  <c r="C196" i="1" s="1"/>
  <c r="H93" i="2" s="1"/>
  <c r="C20" i="1"/>
  <c r="C74" i="2" s="1"/>
  <c r="C63" i="2"/>
  <c r="C113" i="2"/>
  <c r="H89" i="2"/>
  <c r="H85" i="2"/>
  <c r="C73" i="2"/>
  <c r="C35" i="2"/>
  <c r="H39" i="2" s="1"/>
  <c r="H48" i="2"/>
  <c r="H44" i="2"/>
  <c r="C62" i="1"/>
  <c r="H90" i="2" s="1"/>
  <c r="E13" i="2"/>
  <c r="E6" i="2"/>
  <c r="C6" i="1"/>
  <c r="C64" i="2"/>
  <c r="C51" i="1"/>
  <c r="G10" i="2" s="1"/>
  <c r="E8" i="2"/>
  <c r="E7" i="2"/>
  <c r="C219" i="1" l="1"/>
  <c r="C54" i="1"/>
  <c r="C220" i="1" s="1"/>
  <c r="E9" i="2"/>
  <c r="H52" i="2"/>
  <c r="C21" i="1"/>
  <c r="C75" i="2" s="1"/>
  <c r="C114" i="2"/>
  <c r="C52" i="1"/>
  <c r="C7" i="1"/>
  <c r="C65" i="2"/>
  <c r="C225" i="1" l="1"/>
  <c r="C226" i="1"/>
  <c r="C223" i="1"/>
  <c r="C224" i="1"/>
  <c r="C117" i="2"/>
  <c r="G9" i="2"/>
  <c r="C59" i="1"/>
  <c r="G11" i="2" s="1"/>
  <c r="E10" i="2"/>
  <c r="C29" i="1"/>
  <c r="E11" i="2" s="1"/>
  <c r="C22" i="1"/>
  <c r="C23" i="1" s="1"/>
  <c r="C43" i="1"/>
  <c r="C106" i="2" s="1"/>
  <c r="C115" i="2"/>
  <c r="C53" i="1"/>
  <c r="C116" i="2" s="1"/>
  <c r="C9" i="1"/>
  <c r="C66" i="2"/>
  <c r="C8" i="1"/>
  <c r="C16" i="1"/>
  <c r="C55" i="1" l="1"/>
  <c r="C60" i="1" s="1"/>
  <c r="C25" i="1"/>
  <c r="C30" i="1" s="1"/>
  <c r="E12" i="2" s="1"/>
  <c r="H87" i="2"/>
  <c r="C76" i="2"/>
  <c r="C33" i="2"/>
  <c r="D33" i="2" s="1"/>
  <c r="H46" i="2"/>
  <c r="C46" i="1"/>
  <c r="E15" i="2"/>
  <c r="H50" i="2"/>
  <c r="C77" i="2"/>
  <c r="C10" i="1"/>
  <c r="C67" i="2"/>
  <c r="C68" i="2"/>
  <c r="C33" i="1"/>
  <c r="C45" i="2"/>
  <c r="C126" i="1" l="1"/>
  <c r="C118" i="2"/>
  <c r="H47" i="2"/>
  <c r="C79" i="2"/>
  <c r="C34" i="2"/>
  <c r="C169" i="1" s="1"/>
  <c r="C170" i="1" s="1"/>
  <c r="C176" i="1" s="1"/>
  <c r="G12" i="2"/>
  <c r="H88" i="2"/>
  <c r="C109" i="2"/>
  <c r="G15" i="2"/>
  <c r="C140" i="1"/>
  <c r="C63" i="1"/>
  <c r="C64" i="1" s="1"/>
  <c r="F16" i="2" s="1"/>
  <c r="C11" i="1"/>
  <c r="C69" i="2"/>
  <c r="C13" i="1"/>
  <c r="C128" i="1" l="1"/>
  <c r="H37" i="2" s="1"/>
  <c r="C152" i="1"/>
  <c r="C153" i="1"/>
  <c r="H38" i="2"/>
  <c r="D34" i="2"/>
  <c r="I38" i="2"/>
  <c r="C38" i="2"/>
  <c r="H91" i="2"/>
  <c r="H92" i="2"/>
  <c r="C70" i="2"/>
  <c r="C12" i="1"/>
  <c r="C14" i="1" s="1"/>
  <c r="C72" i="2"/>
  <c r="C141" i="1" l="1"/>
  <c r="C147" i="1" s="1"/>
  <c r="C71" i="2"/>
  <c r="E14" i="2"/>
  <c r="H49" i="2"/>
  <c r="C32" i="1"/>
  <c r="C34" i="1" s="1"/>
  <c r="H51" i="2" s="1"/>
  <c r="C148" i="1" l="1"/>
  <c r="C37" i="2" s="1"/>
  <c r="I37" i="2"/>
  <c r="D16" i="2"/>
</calcChain>
</file>

<file path=xl/sharedStrings.xml><?xml version="1.0" encoding="utf-8"?>
<sst xmlns="http://schemas.openxmlformats.org/spreadsheetml/2006/main" count="1052" uniqueCount="638">
  <si>
    <t>Concretagem</t>
  </si>
  <si>
    <t>1ª Fase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</si>
  <si>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</si>
  <si>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</si>
  <si>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</si>
  <si>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</si>
  <si>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</si>
  <si>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</si>
  <si>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</si>
  <si>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</si>
  <si>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</si>
  <si>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</si>
  <si>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</si>
  <si>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</si>
  <si>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</si>
  <si>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</si>
  <si>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</si>
  <si>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</si>
  <si>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</si>
  <si>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</si>
  <si>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</si>
  <si>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</si>
  <si>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</si>
  <si>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</si>
  <si>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</si>
  <si>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w</t>
  </si>
  <si>
    <t>y</t>
  </si>
  <si>
    <t>z</t>
  </si>
  <si>
    <t>Nk</t>
  </si>
  <si>
    <t>APARELHO DE APOIO</t>
  </si>
  <si>
    <t>Junta a Seco</t>
  </si>
  <si>
    <t>Junta com Argamassa</t>
  </si>
  <si>
    <t>Concreto c/ Chapa Met.</t>
  </si>
  <si>
    <t>Chapa Met. não Sold.</t>
  </si>
  <si>
    <t>Politetrafluoretileno</t>
  </si>
  <si>
    <t>x * Hk</t>
  </si>
  <si>
    <t>Aparelho de apoio</t>
  </si>
  <si>
    <t>α</t>
  </si>
  <si>
    <t>Segmento BD</t>
  </si>
  <si>
    <t>Segmento AB</t>
  </si>
  <si>
    <t>Segmento AD</t>
  </si>
  <si>
    <t>Segmento AC</t>
  </si>
  <si>
    <t>θ</t>
  </si>
  <si>
    <t>ρ</t>
  </si>
  <si>
    <t>ω</t>
  </si>
  <si>
    <t>fck</t>
  </si>
  <si>
    <t>fcd</t>
  </si>
  <si>
    <t>fyk</t>
  </si>
  <si>
    <t>fyd</t>
  </si>
  <si>
    <t>Asv</t>
  </si>
  <si>
    <t>As,tir</t>
  </si>
  <si>
    <t>As,tir,min</t>
  </si>
  <si>
    <t>As,cost</t>
  </si>
  <si>
    <t>As,transv</t>
  </si>
  <si>
    <t>GEOMETRIA</t>
  </si>
  <si>
    <t>Altura</t>
  </si>
  <si>
    <t>comprimento</t>
  </si>
  <si>
    <t>largura</t>
  </si>
  <si>
    <t>Cobrimento</t>
  </si>
  <si>
    <t>d'</t>
  </si>
  <si>
    <t>Ø tirante</t>
  </si>
  <si>
    <t>Anc. Tirante</t>
  </si>
  <si>
    <t>Barra Soldada</t>
  </si>
  <si>
    <t>Cota a</t>
  </si>
  <si>
    <t>Carga vertical solicitante de cálculo (Fsd)</t>
  </si>
  <si>
    <t>Carga horizontal solicitante de cálculo (Hsd)</t>
  </si>
  <si>
    <t>Ângulo alfa (alfa)</t>
  </si>
  <si>
    <t>Cota B-D (BD)</t>
  </si>
  <si>
    <t>Cota A-B (AB)</t>
  </si>
  <si>
    <t>Cota A-D (AD)</t>
  </si>
  <si>
    <t>Cota A-C (AC)</t>
  </si>
  <si>
    <t>Ângulo teta (teta)</t>
  </si>
  <si>
    <t>Carga vertical característica solicitante (Nk)</t>
  </si>
  <si>
    <t>Majoração devido ao tipo de fase em que será concretado (yconc)</t>
  </si>
  <si>
    <t>Fase em que o console será concretado (fase)</t>
  </si>
  <si>
    <t>Especificação do tipo de aparelho de apoio (aparelho)</t>
  </si>
  <si>
    <t>tab.aparelho</t>
  </si>
  <si>
    <t>Altura total do consolo (h)</t>
  </si>
  <si>
    <t>Comprimento total do consolo (comprimento)</t>
  </si>
  <si>
    <t>Largura total do consolo (largura)</t>
  </si>
  <si>
    <t>Combrimento da armadura (cobr)</t>
  </si>
  <si>
    <t>Cota entre face tracionada e eixo do tirate (dlinha)</t>
  </si>
  <si>
    <t>Cota entre face do pilar e eixo de aplicação da carga (cota.A)</t>
  </si>
  <si>
    <t>Bitola da armadura do tirante (arm.tir)</t>
  </si>
  <si>
    <t>Tipo de ancoragem da armadura do tirante (Anc.tir)</t>
  </si>
  <si>
    <t>Largura da biela comprimida (hbie)</t>
  </si>
  <si>
    <t>Área da biela comprimida (abie)</t>
  </si>
  <si>
    <t>Reação de compressão na biela (Rcd)</t>
  </si>
  <si>
    <t>CRITÉRIOS</t>
  </si>
  <si>
    <t>An</t>
  </si>
  <si>
    <t>Bn</t>
  </si>
  <si>
    <t>Espessura</t>
  </si>
  <si>
    <t>E1</t>
  </si>
  <si>
    <t>E2</t>
  </si>
  <si>
    <t>E3</t>
  </si>
  <si>
    <t>Espessura do aparelho de apoio (aparelho.esp)</t>
  </si>
  <si>
    <t>Folga e1 do aparelho de apoio (aparelho.e1)</t>
  </si>
  <si>
    <t>Folga e2 do aparelho de apoio (aparelho.e2)</t>
  </si>
  <si>
    <t>Folga e3 do aparelho de apoio (aparelho.e3)</t>
  </si>
  <si>
    <t>Comprimento do neoprene (aparelho.an)</t>
  </si>
  <si>
    <t>Largura do neoprene (aparelho.bn)</t>
  </si>
  <si>
    <t>Tensão de compressão simples máxima no aparelho de apoio (aparelho.tmax)</t>
  </si>
  <si>
    <t>Nk máx</t>
  </si>
  <si>
    <t>Carga vertical máxima no aparelho conforme geometria (aparelho.nkmax)</t>
  </si>
  <si>
    <t>Fck</t>
  </si>
  <si>
    <t>Resistência característica a compressão do concreto aos 28 dias (fck)</t>
  </si>
  <si>
    <t>Tensão de compressão na biela comprimida (sigma.bie)</t>
  </si>
  <si>
    <t>Limite na Biela MBT</t>
  </si>
  <si>
    <t>0,72*av2*fcd</t>
  </si>
  <si>
    <t>0,85*fcd</t>
  </si>
  <si>
    <t>Coeficiente de majoração devido as cargas atuantes (yk)</t>
  </si>
  <si>
    <t>Limite de resistência da biela comprimida (lim.mbt)</t>
  </si>
  <si>
    <t>CRITÉRIO</t>
  </si>
  <si>
    <t>tab.limmbt</t>
  </si>
  <si>
    <t>Resistência</t>
  </si>
  <si>
    <t>CA-25</t>
  </si>
  <si>
    <t>CA-50</t>
  </si>
  <si>
    <t>CA-60</t>
  </si>
  <si>
    <t>TIPO DE AÇO</t>
  </si>
  <si>
    <t>tab.aço</t>
  </si>
  <si>
    <t>Aço</t>
  </si>
  <si>
    <t>Tipo de aço utilizado (aço)</t>
  </si>
  <si>
    <t>Coeficiente de minoração do aço (ys)</t>
  </si>
  <si>
    <t>Resistência de cálculo a compressão do concreto aos 28 dias (fcd)</t>
  </si>
  <si>
    <t>Resistência característica a tração do aço (fyk)</t>
  </si>
  <si>
    <t>Resistência de cálculo a tração do aço (fyd)</t>
  </si>
  <si>
    <t>Armadura necessária devido a carga vertical (Asv)</t>
  </si>
  <si>
    <t>Armadura necessária devido a carga horizontal (Ash)</t>
  </si>
  <si>
    <t>Ash</t>
  </si>
  <si>
    <t>Armadura necessária devido a carga vertical + horizontal (As.tir)</t>
  </si>
  <si>
    <t>Taxa de armadura (taxa.arm)</t>
  </si>
  <si>
    <t>Taxa mecânica (taxa.mec)</t>
  </si>
  <si>
    <t>CONSOLO CURTO (Teoria Bielas e Tirantes)</t>
  </si>
  <si>
    <t>Armadura mínima do tirante (astir.min)</t>
  </si>
  <si>
    <t>Armadura mínima de costura (as.cost)</t>
  </si>
  <si>
    <t>Armadura mínima transversal (as.estr)</t>
  </si>
  <si>
    <t>μ</t>
  </si>
  <si>
    <t>Coeficiente atrito</t>
  </si>
  <si>
    <t>tab.atrito</t>
  </si>
  <si>
    <t>2ª Fase</t>
  </si>
  <si>
    <t>Coeficiente de Atrito (mi)</t>
  </si>
  <si>
    <t>Armadura necessária devido a carga vertical (Asv.muitocurto)</t>
  </si>
  <si>
    <t>Armadura necessária devido a carga vertical + horizontal (As.tirmuitocurto)</t>
  </si>
  <si>
    <t>Taxa de armadura (taxa.arm.muitocurto)</t>
  </si>
  <si>
    <t>Taxa mecânica (taxa.mec.muitocurto)</t>
  </si>
  <si>
    <t>Armadura mínima do tirante (astir.min.muitocurto)</t>
  </si>
  <si>
    <t>Armadura mínima de costura (as.cost.muitocurto)</t>
  </si>
  <si>
    <t>Armadura mínima transversal (as.est.muitocurtor)</t>
  </si>
  <si>
    <t>CONSOLO MUITO CURTO (Teoria Cisalhamento-Atrito "Shear Friction")</t>
  </si>
  <si>
    <t>PLANILHA PARA O DIMENSIONAMENTO DE CONSOLES CURTOS E MUITO CURTOS</t>
  </si>
  <si>
    <t xml:space="preserve">Altura </t>
  </si>
  <si>
    <t>Comprimento</t>
  </si>
  <si>
    <t>Largura viga</t>
  </si>
  <si>
    <t>Tipologia</t>
  </si>
  <si>
    <t>Com gancho</t>
  </si>
  <si>
    <t>Sem gancho</t>
  </si>
  <si>
    <t>a informado</t>
  </si>
  <si>
    <t>a adotado</t>
  </si>
  <si>
    <t>Limite na biela MBT</t>
  </si>
  <si>
    <t>Geometria</t>
  </si>
  <si>
    <t>px</t>
  </si>
  <si>
    <t>Cota do pilar no sentido do tirante</t>
  </si>
  <si>
    <t>Resumo:</t>
  </si>
  <si>
    <t>As,tir nec</t>
  </si>
  <si>
    <t>As,cost nec</t>
  </si>
  <si>
    <t>As,transv nec</t>
  </si>
  <si>
    <t>Verificação</t>
  </si>
  <si>
    <t>Coeficiente de minoração da ressitência do concreto (yc)</t>
  </si>
  <si>
    <t>Largura  viga</t>
  </si>
  <si>
    <t>τwu limite</t>
  </si>
  <si>
    <t>Armadura de tirante necessária</t>
  </si>
  <si>
    <t>Armadura de costura necessária</t>
  </si>
  <si>
    <t>Armadura transversal necessária</t>
  </si>
  <si>
    <t>Tensão de compressão na biela</t>
  </si>
  <si>
    <t>Tensão de compressão limite na biela</t>
  </si>
  <si>
    <t xml:space="preserve">Verificação da tensão </t>
  </si>
  <si>
    <t xml:space="preserve">Tensão cisalhante </t>
  </si>
  <si>
    <t>Tensão cisalhante limite</t>
  </si>
  <si>
    <t>Elastômero (Neoprene)</t>
  </si>
  <si>
    <t xml:space="preserve">Px pilar </t>
  </si>
  <si>
    <t>Resumo das verificações</t>
  </si>
  <si>
    <t>Resistência característica a compressão do concreto aos 28 dias.</t>
  </si>
  <si>
    <t>Coeficiente de minoração da resistência do concreto.</t>
  </si>
  <si>
    <t>Resistência de cálculo a compressão do concreto aos 28 dias.</t>
  </si>
  <si>
    <t>Resistência característica a tração do aço.</t>
  </si>
  <si>
    <t>Coeficiente de minoração da resistência do aço.</t>
  </si>
  <si>
    <t>Resistência de cálculo a tração do aço.</t>
  </si>
  <si>
    <t>Altura total do consolo.</t>
  </si>
  <si>
    <t>Comprimento total do consolo.</t>
  </si>
  <si>
    <t>Largura total da viga / consolo.</t>
  </si>
  <si>
    <t>Cobrimento mínimo de concreto.</t>
  </si>
  <si>
    <t>Altura útil de cálculo do consolo.</t>
  </si>
  <si>
    <t>Cota entre topo do consolo e eixo da armadura de Tirante.</t>
  </si>
  <si>
    <t>Altura útil</t>
  </si>
  <si>
    <t>d útil</t>
  </si>
  <si>
    <t>d' linha</t>
  </si>
  <si>
    <t>Carga vertical característica solicitante.</t>
  </si>
  <si>
    <t>Carga horizontal característica solicitante.</t>
  </si>
  <si>
    <t>Coeficiente de majoração das cargas atuantes.</t>
  </si>
  <si>
    <t>Coeficiente de majoração conforme fase de execução.</t>
  </si>
  <si>
    <t>Carga vertical solicitante de cálculo.</t>
  </si>
  <si>
    <t>Carga horizontal solicitante de cálculo.</t>
  </si>
  <si>
    <t>Ângulo alfa.</t>
  </si>
  <si>
    <t>Ângulo α</t>
  </si>
  <si>
    <t>Ângulo θ</t>
  </si>
  <si>
    <t>Cota B-D.</t>
  </si>
  <si>
    <t>Cota A-B.</t>
  </si>
  <si>
    <t>Cota A-D.</t>
  </si>
  <si>
    <t>Cota A-C.</t>
  </si>
  <si>
    <t>Ângulo teta.</t>
  </si>
  <si>
    <t>Largura da biela comprimida.</t>
  </si>
  <si>
    <t>Área da biela comprimida.</t>
  </si>
  <si>
    <t>Reação de compressão na biela.</t>
  </si>
  <si>
    <t>Armadura necessária devido a carga vertical.</t>
  </si>
  <si>
    <t>Armadura necessária devido a carga horizontal.</t>
  </si>
  <si>
    <t>Armadura necessária devido a carga vertical + horizontal.</t>
  </si>
  <si>
    <t>Taxa de armadura.</t>
  </si>
  <si>
    <t>Taxa mecânica.</t>
  </si>
  <si>
    <t>Armadura mínima do tirante.</t>
  </si>
  <si>
    <t>Armadura de costura.</t>
  </si>
  <si>
    <t>Armadura transversal.</t>
  </si>
  <si>
    <t>Fase de Concretagem</t>
  </si>
  <si>
    <t>Tipo de aparelho</t>
  </si>
  <si>
    <t>Ancoragem do tirante</t>
  </si>
  <si>
    <t>fbd=</t>
  </si>
  <si>
    <t>Anc,reta</t>
  </si>
  <si>
    <t>Ø Tir</t>
  </si>
  <si>
    <t>Anc, com gancho</t>
  </si>
  <si>
    <t>Anc,min</t>
  </si>
  <si>
    <t>Anc, reduzida</t>
  </si>
  <si>
    <t>Qtd. Tir</t>
  </si>
  <si>
    <t>Astir,adot</t>
  </si>
  <si>
    <t>Astir,nec</t>
  </si>
  <si>
    <t>sem gancho resumo</t>
  </si>
  <si>
    <t>com gancho resumo</t>
  </si>
  <si>
    <t>Ancoragem se Asef = Ascalc</t>
  </si>
  <si>
    <t>lb,final</t>
  </si>
  <si>
    <t>Ancoragem da costura</t>
  </si>
  <si>
    <t>Qtd. costr</t>
  </si>
  <si>
    <t>Ø cost</t>
  </si>
  <si>
    <t>Ascost,adot</t>
  </si>
  <si>
    <t>Ascost,nec</t>
  </si>
  <si>
    <t>VERIFICAÇÃO SIMPLIFICADA - CAPACIDADE DE ROTAÇÃO PLÁSTICA</t>
  </si>
  <si>
    <t>a1</t>
  </si>
  <si>
    <t>fcd1</t>
  </si>
  <si>
    <t>Largura da biela diagonal</t>
  </si>
  <si>
    <t>Resistência do nó A (CCC) Fcd1</t>
  </si>
  <si>
    <t xml:space="preserve">Cota a com excentricidade </t>
  </si>
  <si>
    <t>Profundidade da linha neutra</t>
  </si>
  <si>
    <t>x/d</t>
  </si>
  <si>
    <t>x/d lim</t>
  </si>
  <si>
    <t>Verificação tensão na biela</t>
  </si>
  <si>
    <t>CÁLCULO DE ANCORAGEM</t>
  </si>
  <si>
    <t>ARMADURAS ADOTADAS</t>
  </si>
  <si>
    <t>NBR 9062 (ABNT,2017)</t>
  </si>
  <si>
    <t>NBR 6118 (ABNT,2014)</t>
  </si>
  <si>
    <t>As,tir &gt;=</t>
  </si>
  <si>
    <t>Altura útil do console</t>
  </si>
  <si>
    <t>A</t>
  </si>
  <si>
    <t>Área transversal console</t>
  </si>
  <si>
    <t>d/h</t>
  </si>
  <si>
    <t>Maior armadura mínima</t>
  </si>
  <si>
    <t>Tensão de cisalhamento</t>
  </si>
  <si>
    <t>Tensão de cisalhamento limite NBR 9062 (ABNT,2017)</t>
  </si>
  <si>
    <t>Tensão de cisalhamento de cálculo</t>
  </si>
  <si>
    <t>a ABNT NBR 6118. É obrigatória a análise em consolos para vigas de rolamento de pontes rolantes.</t>
  </si>
  <si>
    <t>d) Para consolos curtos, a tensão de compressão na biela inclinada não pode ultrapassar fcd (carga direta) e 0,85*fcd (carga indireta).</t>
  </si>
  <si>
    <t>e) Para consolos muito curtos,a condição de compressão diagonal em função da tensão de cisalhamento máxima deve ser de 8 Mpa.</t>
  </si>
  <si>
    <t>f) É necessária a análise do efeito desfavorável na resistência do consolo, devido à variação
das ações sem inversão dos esforços, considerando-se a análise dinâmica e fadiga conforme</t>
  </si>
  <si>
    <t>g) Devem ser adicionadas ao cálculo dos consolos as ações horizontais atuantes, ou as componentes horizontais de forças provenientes de consolos inclinados.</t>
  </si>
  <si>
    <t xml:space="preserve">h) Devem ser levadas em conta, na determinação das ações horizontais, a elasticidade dosdemais elementos em contato com o consolo e a existência ou não de pinos de ligação </t>
  </si>
  <si>
    <t>ou elementos
intermediários (chapas metálicas, aparelhos de apoio elastoméricos, argamassa e outros).</t>
  </si>
  <si>
    <t xml:space="preserve">i) Deve ser levado em conta o efeito da torção no modelo biela tirante espacial, fora do plano médio do consolo, obedecendo aos valores últimos das tensões de cálculo da </t>
  </si>
  <si>
    <t>ABNT NBR 6118,particularmente nos consolos destinados a receber:</t>
  </si>
  <si>
    <t>- carregamentos devidos a futuras ampliações</t>
  </si>
  <si>
    <t>- cargas móveis transmitidas através de vigas de rolamento;</t>
  </si>
  <si>
    <t>- vigas com torção</t>
  </si>
  <si>
    <t>Relação x/d</t>
  </si>
  <si>
    <t>Relação x/d limite</t>
  </si>
  <si>
    <t>Armadura mínima conforme NBR 9062</t>
  </si>
  <si>
    <t>Alfa c conforme FCK</t>
  </si>
  <si>
    <t>Lambda conforme FCK</t>
  </si>
  <si>
    <t>Resistência característica média a tração do concreto</t>
  </si>
  <si>
    <t>Resistência característica superio a tração do concreto</t>
  </si>
  <si>
    <t>Momento fletor mínimo para cálculo armadura</t>
  </si>
  <si>
    <t>Verificação Kmd</t>
  </si>
  <si>
    <t>Verificação Kk</t>
  </si>
  <si>
    <t>Verificação Kz</t>
  </si>
  <si>
    <t>Taxa de aço calculada</t>
  </si>
  <si>
    <t>Taxa de aço mínima</t>
  </si>
  <si>
    <t>Armadura mínima conforme NBR 6118</t>
  </si>
  <si>
    <t xml:space="preserve">Armadura mínima necessária </t>
  </si>
  <si>
    <t>Ancoragem estribo</t>
  </si>
  <si>
    <t>As,adot</t>
  </si>
  <si>
    <t>Tensão de cisalhamento de cálculo.</t>
  </si>
  <si>
    <t>Tensão de cisalhamento inferior.</t>
  </si>
  <si>
    <t>Tensão de cisalhamento superior.</t>
  </si>
  <si>
    <t>Tensão de cisalhamento limite NBR 6118.</t>
  </si>
  <si>
    <t>Tensão de cisalhamento última adotada.</t>
  </si>
  <si>
    <t>Coeficiente de atrito conforme fase de execução.</t>
  </si>
  <si>
    <t>Armadura mínima de costura.</t>
  </si>
  <si>
    <t>Armadura mínima transversal.</t>
  </si>
  <si>
    <t>smáx aparelho</t>
  </si>
  <si>
    <t>h1 =</t>
  </si>
  <si>
    <t>h2=</t>
  </si>
  <si>
    <t>h3=</t>
  </si>
  <si>
    <t>a =</t>
  </si>
  <si>
    <r>
      <t>F</t>
    </r>
    <r>
      <rPr>
        <vertAlign val="subscript"/>
        <sz val="10"/>
        <rFont val="Calibri"/>
        <family val="2"/>
        <scheme val="minor"/>
      </rPr>
      <t>sd</t>
    </r>
  </si>
  <si>
    <r>
      <t>H</t>
    </r>
    <r>
      <rPr>
        <vertAlign val="subscript"/>
        <sz val="10"/>
        <rFont val="Calibri"/>
        <family val="2"/>
        <scheme val="minor"/>
      </rPr>
      <t>sd</t>
    </r>
  </si>
  <si>
    <r>
      <t>h</t>
    </r>
    <r>
      <rPr>
        <vertAlign val="subscript"/>
        <sz val="10"/>
        <rFont val="Calibri"/>
        <family val="2"/>
        <scheme val="minor"/>
      </rPr>
      <t>bie</t>
    </r>
  </si>
  <si>
    <r>
      <t>A</t>
    </r>
    <r>
      <rPr>
        <vertAlign val="subscript"/>
        <sz val="10"/>
        <rFont val="Calibri"/>
        <family val="2"/>
        <scheme val="minor"/>
      </rPr>
      <t>bie</t>
    </r>
  </si>
  <si>
    <r>
      <t>R</t>
    </r>
    <r>
      <rPr>
        <vertAlign val="subscript"/>
        <sz val="10"/>
        <rFont val="Calibri"/>
        <family val="2"/>
        <scheme val="minor"/>
      </rPr>
      <t>cd</t>
    </r>
  </si>
  <si>
    <r>
      <t>σ</t>
    </r>
    <r>
      <rPr>
        <vertAlign val="subscript"/>
        <sz val="10"/>
        <rFont val="Calibri"/>
        <family val="2"/>
        <scheme val="minor"/>
      </rPr>
      <t>bie</t>
    </r>
  </si>
  <si>
    <r>
      <t>σ</t>
    </r>
    <r>
      <rPr>
        <vertAlign val="subscript"/>
        <sz val="10"/>
        <rFont val="Calibri"/>
        <family val="2"/>
        <scheme val="minor"/>
      </rPr>
      <t>bie</t>
    </r>
    <r>
      <rPr>
        <sz val="10"/>
        <rFont val="Calibri"/>
        <family val="2"/>
        <scheme val="minor"/>
      </rPr>
      <t xml:space="preserve"> limite</t>
    </r>
  </si>
  <si>
    <r>
      <t>τ</t>
    </r>
    <r>
      <rPr>
        <vertAlign val="subscript"/>
        <sz val="10"/>
        <rFont val="Calibri"/>
        <family val="2"/>
        <scheme val="minor"/>
      </rPr>
      <t>wd</t>
    </r>
  </si>
  <si>
    <r>
      <t>f</t>
    </r>
    <r>
      <rPr>
        <vertAlign val="subscript"/>
        <sz val="10"/>
        <rFont val="Calibri"/>
        <family val="2"/>
        <scheme val="minor"/>
      </rPr>
      <t>ck</t>
    </r>
  </si>
  <si>
    <r>
      <t>f</t>
    </r>
    <r>
      <rPr>
        <vertAlign val="subscript"/>
        <sz val="10"/>
        <rFont val="Calibri"/>
        <family val="2"/>
        <scheme val="minor"/>
      </rPr>
      <t>cd</t>
    </r>
  </si>
  <si>
    <r>
      <t>τ</t>
    </r>
    <r>
      <rPr>
        <vertAlign val="subscript"/>
        <sz val="10"/>
        <rFont val="Calibri"/>
        <family val="2"/>
        <scheme val="minor"/>
      </rPr>
      <t>wu,1</t>
    </r>
  </si>
  <si>
    <r>
      <t>τ</t>
    </r>
    <r>
      <rPr>
        <vertAlign val="subscript"/>
        <sz val="10"/>
        <rFont val="Calibri"/>
        <family val="2"/>
        <scheme val="minor"/>
      </rPr>
      <t>wu,2</t>
    </r>
  </si>
  <si>
    <r>
      <t>τ</t>
    </r>
    <r>
      <rPr>
        <vertAlign val="subscript"/>
        <sz val="10"/>
        <rFont val="Calibri"/>
        <family val="2"/>
        <scheme val="minor"/>
      </rPr>
      <t>wu,3</t>
    </r>
  </si>
  <si>
    <r>
      <t>τ</t>
    </r>
    <r>
      <rPr>
        <vertAlign val="subscript"/>
        <sz val="10"/>
        <rFont val="Calibri"/>
        <family val="2"/>
        <scheme val="minor"/>
      </rPr>
      <t>wu</t>
    </r>
  </si>
  <si>
    <r>
      <t>f</t>
    </r>
    <r>
      <rPr>
        <vertAlign val="subscript"/>
        <sz val="10"/>
        <rFont val="Calibri"/>
        <family val="2"/>
        <scheme val="minor"/>
      </rPr>
      <t>yk</t>
    </r>
  </si>
  <si>
    <r>
      <t>f</t>
    </r>
    <r>
      <rPr>
        <vertAlign val="subscript"/>
        <sz val="10"/>
        <rFont val="Calibri"/>
        <family val="2"/>
        <scheme val="minor"/>
      </rPr>
      <t>yd</t>
    </r>
  </si>
  <si>
    <r>
      <t>A</t>
    </r>
    <r>
      <rPr>
        <vertAlign val="subscript"/>
        <sz val="10"/>
        <rFont val="Calibri"/>
        <family val="2"/>
        <scheme val="minor"/>
      </rPr>
      <t>sv</t>
    </r>
  </si>
  <si>
    <r>
      <t>A</t>
    </r>
    <r>
      <rPr>
        <b/>
        <vertAlign val="subscript"/>
        <sz val="10"/>
        <rFont val="Calibri"/>
        <family val="2"/>
        <scheme val="minor"/>
      </rPr>
      <t>s,tir</t>
    </r>
  </si>
  <si>
    <r>
      <t>A</t>
    </r>
    <r>
      <rPr>
        <vertAlign val="subscript"/>
        <sz val="10"/>
        <rFont val="Calibri"/>
        <family val="2"/>
        <scheme val="minor"/>
      </rPr>
      <t>s,tir,min</t>
    </r>
  </si>
  <si>
    <r>
      <t>A</t>
    </r>
    <r>
      <rPr>
        <vertAlign val="subscript"/>
        <sz val="10"/>
        <rFont val="Calibri"/>
        <family val="2"/>
        <scheme val="minor"/>
      </rPr>
      <t>s,cost</t>
    </r>
  </si>
  <si>
    <r>
      <t>A</t>
    </r>
    <r>
      <rPr>
        <vertAlign val="subscript"/>
        <sz val="10"/>
        <rFont val="Calibri"/>
        <family val="2"/>
        <scheme val="minor"/>
      </rPr>
      <t>s,transv</t>
    </r>
  </si>
  <si>
    <r>
      <t>y</t>
    </r>
    <r>
      <rPr>
        <b/>
        <vertAlign val="subscript"/>
        <sz val="10"/>
        <rFont val="Calibri"/>
        <family val="2"/>
        <scheme val="minor"/>
      </rPr>
      <t>cg</t>
    </r>
    <r>
      <rPr>
        <b/>
        <sz val="10"/>
        <rFont val="Calibri"/>
        <family val="2"/>
        <scheme val="minor"/>
      </rPr>
      <t xml:space="preserve"> </t>
    </r>
  </si>
  <si>
    <r>
      <t>I</t>
    </r>
    <r>
      <rPr>
        <b/>
        <vertAlign val="subscript"/>
        <sz val="10"/>
        <rFont val="Calibri"/>
        <family val="2"/>
        <scheme val="minor"/>
      </rPr>
      <t>z</t>
    </r>
    <r>
      <rPr>
        <b/>
        <sz val="10"/>
        <rFont val="Calibri"/>
        <family val="2"/>
        <scheme val="minor"/>
      </rPr>
      <t xml:space="preserve"> (cm</t>
    </r>
    <r>
      <rPr>
        <b/>
        <vertAlign val="superscript"/>
        <sz val="10"/>
        <rFont val="Calibri"/>
        <family val="2"/>
        <scheme val="minor"/>
      </rPr>
      <t>4</t>
    </r>
    <r>
      <rPr>
        <b/>
        <sz val="10"/>
        <rFont val="Calibri"/>
        <family val="2"/>
        <scheme val="minor"/>
      </rPr>
      <t>)</t>
    </r>
  </si>
  <si>
    <r>
      <t>W</t>
    </r>
    <r>
      <rPr>
        <b/>
        <vertAlign val="subscript"/>
        <sz val="10"/>
        <rFont val="Calibri"/>
        <family val="2"/>
        <scheme val="minor"/>
      </rPr>
      <t>0</t>
    </r>
    <r>
      <rPr>
        <b/>
        <sz val="10"/>
        <rFont val="Calibri"/>
        <family val="2"/>
        <scheme val="minor"/>
      </rPr>
      <t xml:space="preserve"> (cm</t>
    </r>
    <r>
      <rPr>
        <b/>
        <vertAlign val="superscript"/>
        <sz val="10"/>
        <rFont val="Calibri"/>
        <family val="2"/>
        <scheme val="minor"/>
      </rPr>
      <t>3</t>
    </r>
    <r>
      <rPr>
        <b/>
        <sz val="10"/>
        <rFont val="Calibri"/>
        <family val="2"/>
        <scheme val="minor"/>
      </rPr>
      <t>)</t>
    </r>
  </si>
  <si>
    <r>
      <t>g</t>
    </r>
    <r>
      <rPr>
        <vertAlign val="subscript"/>
        <sz val="10"/>
        <rFont val="Calibri"/>
        <family val="2"/>
        <scheme val="minor"/>
      </rPr>
      <t>conc</t>
    </r>
  </si>
  <si>
    <r>
      <t>g</t>
    </r>
    <r>
      <rPr>
        <vertAlign val="subscript"/>
        <sz val="10"/>
        <rFont val="Calibri"/>
        <family val="2"/>
        <scheme val="minor"/>
      </rPr>
      <t>k</t>
    </r>
  </si>
  <si>
    <r>
      <t>g</t>
    </r>
    <r>
      <rPr>
        <vertAlign val="subscript"/>
        <sz val="10"/>
        <rFont val="Calibri"/>
        <family val="2"/>
        <scheme val="minor"/>
      </rPr>
      <t>c</t>
    </r>
  </si>
  <si>
    <r>
      <t>g</t>
    </r>
    <r>
      <rPr>
        <vertAlign val="subscript"/>
        <sz val="10"/>
        <rFont val="Calibri"/>
        <family val="2"/>
        <scheme val="minor"/>
      </rPr>
      <t>s</t>
    </r>
  </si>
  <si>
    <r>
      <t>F</t>
    </r>
    <r>
      <rPr>
        <vertAlign val="subscript"/>
        <sz val="10"/>
        <rFont val="Calibri"/>
        <family val="2"/>
        <scheme val="minor"/>
      </rPr>
      <t>ctd</t>
    </r>
  </si>
  <si>
    <r>
      <t>a</t>
    </r>
    <r>
      <rPr>
        <b/>
        <vertAlign val="subscript"/>
        <sz val="10"/>
        <rFont val="Calibri"/>
        <family val="2"/>
        <scheme val="minor"/>
      </rPr>
      <t>c</t>
    </r>
  </si>
  <si>
    <r>
      <t>f</t>
    </r>
    <r>
      <rPr>
        <b/>
        <vertAlign val="subscript"/>
        <sz val="10"/>
        <rFont val="Calibri"/>
        <family val="2"/>
        <scheme val="minor"/>
      </rPr>
      <t>ctk,méd</t>
    </r>
    <r>
      <rPr>
        <b/>
        <sz val="10"/>
        <rFont val="Calibri"/>
        <family val="2"/>
        <scheme val="minor"/>
      </rPr>
      <t xml:space="preserve"> (MPa)</t>
    </r>
  </si>
  <si>
    <r>
      <t>f</t>
    </r>
    <r>
      <rPr>
        <b/>
        <vertAlign val="subscript"/>
        <sz val="10"/>
        <rFont val="Calibri"/>
        <family val="2"/>
        <scheme val="minor"/>
      </rPr>
      <t>ctk,sup</t>
    </r>
    <r>
      <rPr>
        <b/>
        <sz val="10"/>
        <rFont val="Calibri"/>
        <family val="2"/>
        <scheme val="minor"/>
      </rPr>
      <t xml:space="preserve"> (MPa)</t>
    </r>
  </si>
  <si>
    <r>
      <t>M</t>
    </r>
    <r>
      <rPr>
        <b/>
        <vertAlign val="subscript"/>
        <sz val="10"/>
        <rFont val="Calibri"/>
        <family val="2"/>
        <scheme val="minor"/>
      </rPr>
      <t>d,min</t>
    </r>
    <r>
      <rPr>
        <b/>
        <sz val="10"/>
        <rFont val="Calibri"/>
        <family val="2"/>
        <scheme val="minor"/>
      </rPr>
      <t xml:space="preserve"> (kN.cm)</t>
    </r>
  </si>
  <si>
    <r>
      <t>k</t>
    </r>
    <r>
      <rPr>
        <b/>
        <vertAlign val="subscript"/>
        <sz val="10"/>
        <rFont val="Calibri"/>
        <family val="2"/>
        <scheme val="minor"/>
      </rPr>
      <t xml:space="preserve">Md </t>
    </r>
  </si>
  <si>
    <r>
      <t>k</t>
    </r>
    <r>
      <rPr>
        <b/>
        <vertAlign val="subscript"/>
        <sz val="10"/>
        <rFont val="Calibri"/>
        <family val="2"/>
        <scheme val="minor"/>
      </rPr>
      <t>x</t>
    </r>
  </si>
  <si>
    <r>
      <t>k</t>
    </r>
    <r>
      <rPr>
        <b/>
        <vertAlign val="subscript"/>
        <sz val="10"/>
        <rFont val="Calibri"/>
        <family val="2"/>
        <scheme val="minor"/>
      </rPr>
      <t>z</t>
    </r>
  </si>
  <si>
    <r>
      <t>A</t>
    </r>
    <r>
      <rPr>
        <b/>
        <vertAlign val="subscript"/>
        <sz val="10"/>
        <rFont val="Calibri"/>
        <family val="2"/>
        <scheme val="minor"/>
      </rPr>
      <t>s</t>
    </r>
    <r>
      <rPr>
        <b/>
        <sz val="10"/>
        <rFont val="Calibri"/>
        <family val="2"/>
        <scheme val="minor"/>
      </rPr>
      <t xml:space="preserve"> (cm</t>
    </r>
    <r>
      <rPr>
        <b/>
        <vertAlign val="super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>)</t>
    </r>
  </si>
  <si>
    <r>
      <t>r</t>
    </r>
    <r>
      <rPr>
        <b/>
        <vertAlign val="subscript"/>
        <sz val="10"/>
        <rFont val="Calibri"/>
        <family val="2"/>
        <scheme val="minor"/>
      </rPr>
      <t>min-calc</t>
    </r>
    <r>
      <rPr>
        <b/>
        <sz val="10"/>
        <rFont val="Calibri"/>
        <family val="2"/>
        <scheme val="minor"/>
      </rPr>
      <t xml:space="preserve"> = A</t>
    </r>
    <r>
      <rPr>
        <b/>
        <vertAlign val="subscript"/>
        <sz val="10"/>
        <rFont val="Calibri"/>
        <family val="2"/>
        <scheme val="minor"/>
      </rPr>
      <t>s</t>
    </r>
    <r>
      <rPr>
        <b/>
        <sz val="10"/>
        <rFont val="Calibri"/>
        <family val="2"/>
        <scheme val="minor"/>
      </rPr>
      <t>/A</t>
    </r>
    <r>
      <rPr>
        <b/>
        <vertAlign val="subscript"/>
        <sz val="10"/>
        <rFont val="Calibri"/>
        <family val="2"/>
        <scheme val="minor"/>
      </rPr>
      <t>c</t>
    </r>
    <r>
      <rPr>
        <b/>
        <sz val="10"/>
        <rFont val="Calibri"/>
        <family val="2"/>
        <scheme val="minor"/>
      </rPr>
      <t xml:space="preserve"> (%)</t>
    </r>
  </si>
  <si>
    <r>
      <t>r</t>
    </r>
    <r>
      <rPr>
        <b/>
        <vertAlign val="subscript"/>
        <sz val="10"/>
        <rFont val="Calibri"/>
        <family val="2"/>
        <scheme val="minor"/>
      </rPr>
      <t>min</t>
    </r>
    <r>
      <rPr>
        <b/>
        <sz val="10"/>
        <rFont val="Calibri"/>
        <family val="2"/>
        <scheme val="minor"/>
      </rPr>
      <t xml:space="preserve"> = A</t>
    </r>
    <r>
      <rPr>
        <b/>
        <vertAlign val="subscript"/>
        <sz val="10"/>
        <rFont val="Calibri"/>
        <family val="2"/>
        <scheme val="minor"/>
      </rPr>
      <t>s</t>
    </r>
    <r>
      <rPr>
        <b/>
        <sz val="10"/>
        <rFont val="Calibri"/>
        <family val="2"/>
        <scheme val="minor"/>
      </rPr>
      <t>/A</t>
    </r>
    <r>
      <rPr>
        <b/>
        <vertAlign val="subscript"/>
        <sz val="10"/>
        <rFont val="Calibri"/>
        <family val="2"/>
        <scheme val="minor"/>
      </rPr>
      <t>c</t>
    </r>
    <r>
      <rPr>
        <b/>
        <sz val="10"/>
        <rFont val="Calibri"/>
        <family val="2"/>
        <scheme val="minor"/>
      </rPr>
      <t xml:space="preserve"> (%)</t>
    </r>
  </si>
  <si>
    <t>c total</t>
  </si>
  <si>
    <t>ARMADURA MÍNIMA TIRANTE</t>
  </si>
  <si>
    <t>ARMADURA MÍNIMA COSTURA</t>
  </si>
  <si>
    <t>curto</t>
  </si>
  <si>
    <t>muito curto</t>
  </si>
  <si>
    <t>mínima</t>
  </si>
  <si>
    <t>CURTO -As,cost,min 2/3</t>
  </si>
  <si>
    <t>MUITO CURTO -As,cost,min 2/3</t>
  </si>
  <si>
    <t>CURTO -As,cost,min</t>
  </si>
  <si>
    <t>MUITO CURTO -As,cost,min</t>
  </si>
  <si>
    <t>distribuída</t>
  </si>
  <si>
    <t>dutil</t>
  </si>
  <si>
    <t>as final</t>
  </si>
  <si>
    <t>PLANILHA PARA O DIMENSIONAMENTO DE CONSOLOS CURTOS E MUITO CURTOS</t>
  </si>
  <si>
    <t>LARGURA DA VIGA = 15 CM</t>
  </si>
  <si>
    <t>Carregamento</t>
  </si>
  <si>
    <t>Armaduras</t>
  </si>
  <si>
    <t>L x H</t>
  </si>
  <si>
    <t>Neoprene</t>
  </si>
  <si>
    <t>Tirante</t>
  </si>
  <si>
    <t>Costura</t>
  </si>
  <si>
    <t>Estribo</t>
  </si>
  <si>
    <t>20x20</t>
  </si>
  <si>
    <t>NP1</t>
  </si>
  <si>
    <t>2 Ø 12,5 mm</t>
  </si>
  <si>
    <t>3 Ø 5 mm</t>
  </si>
  <si>
    <t>4 Ø 5 mm</t>
  </si>
  <si>
    <t>25x30</t>
  </si>
  <si>
    <t>NP2</t>
  </si>
  <si>
    <t>3 Ø 12,5 mm</t>
  </si>
  <si>
    <t>4 Ø 6,3 mm</t>
  </si>
  <si>
    <t>4 Ø 12,5 mm</t>
  </si>
  <si>
    <t>5 Ø 6,3 mm</t>
  </si>
  <si>
    <t>CONSIDERAÇÕES DE CÁLCULO:</t>
  </si>
  <si>
    <r>
      <rPr>
        <b/>
        <sz val="11"/>
        <color theme="1"/>
        <rFont val="Calibri"/>
        <family val="2"/>
        <scheme val="minor"/>
      </rPr>
      <t>1.</t>
    </r>
    <r>
      <rPr>
        <sz val="11"/>
        <color theme="1"/>
        <rFont val="Calibri"/>
        <family val="2"/>
        <scheme val="minor"/>
      </rPr>
      <t xml:space="preserve"> Neoprene simples Shore A-60  # 1 cm - </t>
    </r>
    <r>
      <rPr>
        <sz val="12"/>
        <rFont val="Symbol"/>
        <family val="1"/>
        <charset val="2"/>
      </rPr>
      <t>s</t>
    </r>
    <r>
      <rPr>
        <sz val="9"/>
        <rFont val="Arial"/>
        <family val="2"/>
      </rPr>
      <t>máx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0"/>
        <rFont val="Arial"/>
        <family val="2"/>
      </rPr>
      <t>7 Mpa</t>
    </r>
  </si>
  <si>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Fck 40 Mpa | </t>
    </r>
    <r>
      <rPr>
        <sz val="11"/>
        <rFont val="Symbol"/>
        <family val="1"/>
        <charset val="2"/>
      </rPr>
      <t>s</t>
    </r>
    <r>
      <rPr>
        <sz val="9"/>
        <rFont val="Arial"/>
        <family val="2"/>
      </rPr>
      <t>máx</t>
    </r>
    <r>
      <rPr>
        <sz val="11"/>
        <color theme="1"/>
        <rFont val="Calibri"/>
        <family val="2"/>
        <scheme val="minor"/>
      </rPr>
      <t xml:space="preserve"> na biela </t>
    </r>
    <r>
      <rPr>
        <b/>
        <sz val="10"/>
        <rFont val="Arial"/>
        <family val="2"/>
      </rPr>
      <t>28,57 Mpa</t>
    </r>
    <r>
      <rPr>
        <sz val="11"/>
        <color theme="1"/>
        <rFont val="Calibri"/>
        <family val="2"/>
        <scheme val="minor"/>
      </rPr>
      <t xml:space="preserve"> (fcd)</t>
    </r>
  </si>
  <si>
    <r>
      <rPr>
        <b/>
        <sz val="11"/>
        <color theme="1"/>
        <rFont val="Calibri"/>
        <family val="2"/>
        <scheme val="minor"/>
      </rPr>
      <t>3.</t>
    </r>
    <r>
      <rPr>
        <sz val="11"/>
        <color theme="1"/>
        <rFont val="Calibri"/>
        <family val="2"/>
        <scheme val="minor"/>
      </rPr>
      <t xml:space="preserve"> Consolo concretado em segunda fase.</t>
    </r>
  </si>
  <si>
    <r>
      <rPr>
        <b/>
        <sz val="11"/>
        <color theme="1"/>
        <rFont val="Calibri"/>
        <family val="2"/>
        <scheme val="minor"/>
      </rPr>
      <t>4.</t>
    </r>
    <r>
      <rPr>
        <sz val="11"/>
        <color theme="1"/>
        <rFont val="Calibri"/>
        <family val="2"/>
        <scheme val="minor"/>
      </rPr>
      <t xml:space="preserve"> Armadura de costura indicada, considerada igualmente distribuída.</t>
    </r>
  </si>
  <si>
    <t>LARGURA DA VIGA = 20 CM</t>
  </si>
  <si>
    <t>NP3</t>
  </si>
  <si>
    <t>2 Ø 10 mm</t>
  </si>
  <si>
    <t>NP4</t>
  </si>
  <si>
    <t>2 Ø 16 mm</t>
  </si>
  <si>
    <t>2 Ø 20 mm</t>
  </si>
  <si>
    <t>4 Ø 8 mm</t>
  </si>
  <si>
    <t>30x40</t>
  </si>
  <si>
    <t>NP5</t>
  </si>
  <si>
    <t>3 Ø 16,0 mm</t>
  </si>
  <si>
    <t>6 Ø 6,3 mm</t>
  </si>
  <si>
    <t>3 Ø 20,0 mm</t>
  </si>
  <si>
    <t>6 Ø 8 mm</t>
  </si>
  <si>
    <t>LARGURA DA VIGA = 25 CM</t>
  </si>
  <si>
    <t>NP6</t>
  </si>
  <si>
    <t>NP7</t>
  </si>
  <si>
    <t>5 Ø 8 mm</t>
  </si>
  <si>
    <t>NP8</t>
  </si>
  <si>
    <t>5 Ø 10 mm</t>
  </si>
  <si>
    <t>4 Ø 20,0 mm</t>
  </si>
  <si>
    <t>LARGURA DA VIGA = 30 CM</t>
  </si>
  <si>
    <t>NP9</t>
  </si>
  <si>
    <t>4 Ø 8,0 mm</t>
  </si>
  <si>
    <t>3 Ø 20 mm</t>
  </si>
  <si>
    <t>4 Ø 10 mm</t>
  </si>
  <si>
    <t>4 Ø 20 mm</t>
  </si>
  <si>
    <t>NP10</t>
  </si>
  <si>
    <t>4 Ø 25,4 mm</t>
  </si>
  <si>
    <t>5 Ø 12,5 mm</t>
  </si>
  <si>
    <t>LARGURA DA VIGA = 40 CM</t>
  </si>
  <si>
    <t>NP11</t>
  </si>
  <si>
    <t>3 Ø 25,0 mm</t>
  </si>
  <si>
    <t>NP12</t>
  </si>
  <si>
    <t>4 Ø 16,0 mm</t>
  </si>
  <si>
    <t>5 Ø 25,4 mm</t>
  </si>
  <si>
    <t>DADOS DE ENTRADA PARA CONSOLE COM MÍSULA</t>
  </si>
  <si>
    <t>NEOPRENES PADRÕES</t>
  </si>
  <si>
    <t>Compr. Consolo</t>
  </si>
  <si>
    <t>an</t>
  </si>
  <si>
    <t>bn</t>
  </si>
  <si>
    <t>R máx</t>
  </si>
  <si>
    <t>Disposição construtiva</t>
  </si>
  <si>
    <t>esp máx em planta</t>
  </si>
  <si>
    <t>Ø máx</t>
  </si>
  <si>
    <t xml:space="preserve">esp máx </t>
  </si>
  <si>
    <t>1ª Camada</t>
  </si>
  <si>
    <t>esp máx</t>
  </si>
  <si>
    <t>esp adotado</t>
  </si>
  <si>
    <t>esp,adot</t>
  </si>
  <si>
    <r>
      <rPr>
        <b/>
        <sz val="10"/>
        <rFont val="Symbol"/>
        <family val="1"/>
        <charset val="2"/>
      </rPr>
      <t>s</t>
    </r>
    <r>
      <rPr>
        <b/>
        <sz val="10"/>
        <rFont val="Calibri"/>
        <family val="2"/>
        <scheme val="minor"/>
      </rPr>
      <t xml:space="preserve"> Atuante no Neoprene</t>
    </r>
  </si>
  <si>
    <r>
      <rPr>
        <b/>
        <sz val="10"/>
        <rFont val="Symbol"/>
        <family val="1"/>
        <charset val="2"/>
      </rPr>
      <t>s</t>
    </r>
    <r>
      <rPr>
        <b/>
        <sz val="10"/>
        <rFont val="Calibri"/>
        <family val="2"/>
        <scheme val="minor"/>
      </rPr>
      <t xml:space="preserve"> Atuante na biela</t>
    </r>
  </si>
  <si>
    <t>D8:BB:C1:04:EC:F3</t>
  </si>
  <si>
    <t>70:85:C2:31:99:F4</t>
  </si>
  <si>
    <t>3C:7C:3F:3B:AE:96</t>
  </si>
  <si>
    <t>74:D4:35:9A:BD:60</t>
  </si>
  <si>
    <t>20:47:47:FF:62:B2</t>
  </si>
  <si>
    <t>94:DE:80:F6:E2:B4</t>
  </si>
  <si>
    <t>10:98:36:FC:DF:56</t>
  </si>
  <si>
    <t>20:47:47:FF:63:39</t>
  </si>
  <si>
    <t>30:9C:23:AB:FD:90</t>
  </si>
  <si>
    <t>70:85:C2:CA:2A:4E</t>
  </si>
  <si>
    <t>18:C0:4D:F6:27:FC</t>
  </si>
  <si>
    <t>A8:A1:59:6C:54:88</t>
  </si>
  <si>
    <t>Lucas Butzke</t>
  </si>
  <si>
    <t>Victor Hugo</t>
  </si>
  <si>
    <t>Fernanda Nau</t>
  </si>
  <si>
    <t>Bertholdo Müller</t>
  </si>
  <si>
    <t>Jumara Ern</t>
  </si>
  <si>
    <t>Rodrigo Catanio</t>
  </si>
  <si>
    <t>NOTEBOOK PARTICULAR</t>
  </si>
  <si>
    <t>PROJETOS-01</t>
  </si>
  <si>
    <t>PROJETOS-02</t>
  </si>
  <si>
    <t>PROJETOS-03</t>
  </si>
  <si>
    <t>PROJETOS-04</t>
  </si>
  <si>
    <t>PROJETOS-05</t>
  </si>
  <si>
    <t>PROJETOS-06</t>
  </si>
  <si>
    <t>PROJETOS-07</t>
  </si>
  <si>
    <t>PROJETOS-08</t>
  </si>
  <si>
    <t>PROJETOS-09</t>
  </si>
  <si>
    <t>PROJETOS-10</t>
  </si>
  <si>
    <t>PROJETOS-11</t>
  </si>
  <si>
    <t>Amanda Pires</t>
  </si>
  <si>
    <t>PROJETOS-12</t>
  </si>
  <si>
    <t>PROJETOS-13</t>
  </si>
  <si>
    <t>D8:BB:C1:04:EC:1F</t>
  </si>
  <si>
    <t>Notebook Expedição</t>
  </si>
  <si>
    <t>Filipe Erick De Matos</t>
  </si>
  <si>
    <t>Lucas Lucena Fronza</t>
  </si>
  <si>
    <t>Ludmila Fronza</t>
  </si>
  <si>
    <t>Camila Stramosk Possamai</t>
  </si>
  <si>
    <t>Joana Scharpf Fernandes</t>
  </si>
  <si>
    <t>Bruno Anami II</t>
  </si>
  <si>
    <t>Guilherme Luiz Nardelli</t>
  </si>
  <si>
    <t>B0:25:AA:43:F6:49/5C:CD:5B:FA:48:A8/5C:CD:5B:FA:48:AC</t>
  </si>
  <si>
    <t>5C:C9:D3:97:05:EA/4B0:25:AA:27:AF:6</t>
  </si>
  <si>
    <t>João Luis Müller</t>
  </si>
  <si>
    <t>5C:E0:C5:FE:F3:A3/F8:A9:63:65:96:39</t>
  </si>
  <si>
    <t>5C:C9:D3:97:05:EA/FC:45:96:F6:9C:A1</t>
  </si>
  <si>
    <t>B0:25:AA:43:F6:49</t>
  </si>
  <si>
    <t>5C:CD:5B:FA:48:A8</t>
  </si>
  <si>
    <t>5C:CD:5B:FA:48:AC</t>
  </si>
  <si>
    <t>5C:C9:D3:97:05:EA</t>
  </si>
  <si>
    <t>4B0:25:AA:27:AF:6</t>
  </si>
  <si>
    <t>4B0:25:AA:27:AF:6/5C:C9:D3:97:05:EA</t>
  </si>
  <si>
    <t>F8:A9:63:65:96:39/5C:E0:C5:FE:F3:A3</t>
  </si>
  <si>
    <t>5C:E0:C5:FE:F3:A3</t>
  </si>
  <si>
    <t>F8:A9:63:65:96:39</t>
  </si>
  <si>
    <t>FC:45:96:F6:9C:A1</t>
  </si>
  <si>
    <t>FC:45:96:F6:9C:A1/5C:C9:D3:97:05:EA</t>
  </si>
  <si>
    <t>NOTERBOOKS</t>
  </si>
  <si>
    <t>NOT PROJETOS-05</t>
  </si>
  <si>
    <t>NOT EXPEDIÇÃO-01</t>
  </si>
  <si>
    <t>DESKTOPS</t>
  </si>
  <si>
    <t>B0:25:AA:27:AF:64</t>
  </si>
  <si>
    <t>8C:A9:82:FD:55:61</t>
  </si>
  <si>
    <t>B0:25:AA:27:AF:64/8C:A9:82:FD:55:61</t>
  </si>
  <si>
    <t>8C:A9:82:FD:55:61/B0:25:AA:27:AF:64</t>
  </si>
  <si>
    <t>TERMOS DE UTILIZAÇÃO DA PLANILHA</t>
  </si>
  <si>
    <t>1 - UTILIZAÇÃO DA PLANILHA</t>
  </si>
  <si>
    <t>2 - LIBERAÇÃO DE ACESSO À PLANILHA</t>
  </si>
  <si>
    <t>3 - RESULTADOS E ANÁLISE CRÍTICA</t>
  </si>
  <si>
    <t>4 - ATUALIZAÇÕES E SUPORTE TÉCNICO</t>
  </si>
  <si>
    <t>5 - RESPONSABILIDADE POR DANOS</t>
  </si>
  <si>
    <t>a lucros cessantes, perdas financeiras, perdas de negócios ou perdas de dados, resultantes do uso ou da incapacidade de uso da planilha, ou por quaisquer erros ou omissões nas</t>
  </si>
  <si>
    <t>informações fornecidas na planilha.</t>
  </si>
  <si>
    <t>6 - RESTRIÇÕES DE COMPARTILHAMENTO E DIREITOS AUTORAIS</t>
  </si>
  <si>
    <t>seu código fonte, está protegida por leis de direitos autorais e marcas comerciais.</t>
  </si>
  <si>
    <t>C40</t>
  </si>
  <si>
    <t>I20</t>
  </si>
  <si>
    <t>3 Ø 10 mm</t>
  </si>
  <si>
    <r>
      <t xml:space="preserve">Relação </t>
    </r>
    <r>
      <rPr>
        <vertAlign val="superscript"/>
        <sz val="10"/>
        <rFont val="Aptos"/>
        <family val="2"/>
      </rPr>
      <t>A</t>
    </r>
    <r>
      <rPr>
        <sz val="10"/>
        <rFont val="Aptos"/>
        <family val="2"/>
      </rPr>
      <t>/</t>
    </r>
    <r>
      <rPr>
        <vertAlign val="subscript"/>
        <sz val="10"/>
        <rFont val="Aptos"/>
        <family val="2"/>
      </rPr>
      <t>D</t>
    </r>
  </si>
  <si>
    <r>
      <t>F</t>
    </r>
    <r>
      <rPr>
        <vertAlign val="subscript"/>
        <sz val="10"/>
        <rFont val="Aptos"/>
        <family val="2"/>
      </rPr>
      <t>SD</t>
    </r>
  </si>
  <si>
    <r>
      <t>H</t>
    </r>
    <r>
      <rPr>
        <vertAlign val="subscript"/>
        <sz val="10"/>
        <rFont val="Aptos"/>
        <family val="2"/>
      </rPr>
      <t>SD</t>
    </r>
  </si>
  <si>
    <r>
      <t xml:space="preserve">AS </t>
    </r>
    <r>
      <rPr>
        <vertAlign val="subscript"/>
        <sz val="10"/>
        <rFont val="Aptos"/>
        <family val="2"/>
      </rPr>
      <t>TIRANTE MÍNIMO</t>
    </r>
  </si>
  <si>
    <r>
      <t>AS</t>
    </r>
    <r>
      <rPr>
        <vertAlign val="subscript"/>
        <sz val="10"/>
        <rFont val="Aptos"/>
        <family val="2"/>
      </rPr>
      <t xml:space="preserve"> TIRANTE</t>
    </r>
  </si>
  <si>
    <r>
      <t>AS</t>
    </r>
    <r>
      <rPr>
        <vertAlign val="subscript"/>
        <sz val="10"/>
        <rFont val="Aptos"/>
        <family val="2"/>
      </rPr>
      <t xml:space="preserve"> COSTURA</t>
    </r>
  </si>
  <si>
    <r>
      <t xml:space="preserve">AS </t>
    </r>
    <r>
      <rPr>
        <vertAlign val="subscript"/>
        <sz val="10"/>
        <rFont val="Aptos"/>
        <family val="2"/>
      </rPr>
      <t>TRANSVERSAL</t>
    </r>
  </si>
  <si>
    <r>
      <t>τ</t>
    </r>
    <r>
      <rPr>
        <vertAlign val="subscript"/>
        <sz val="10"/>
        <rFont val="Aptos"/>
        <family val="2"/>
      </rPr>
      <t>wd</t>
    </r>
  </si>
  <si>
    <r>
      <t xml:space="preserve">Cota </t>
    </r>
    <r>
      <rPr>
        <vertAlign val="subscript"/>
        <sz val="10"/>
        <rFont val="Aptos"/>
        <family val="2"/>
      </rPr>
      <t>E1</t>
    </r>
  </si>
  <si>
    <r>
      <t xml:space="preserve">Cota </t>
    </r>
    <r>
      <rPr>
        <vertAlign val="subscript"/>
        <sz val="10"/>
        <rFont val="Aptos"/>
        <family val="2"/>
      </rPr>
      <t>E2</t>
    </r>
  </si>
  <si>
    <r>
      <t xml:space="preserve">Relação </t>
    </r>
    <r>
      <rPr>
        <vertAlign val="superscript"/>
        <sz val="10"/>
        <rFont val="Aptos"/>
        <family val="2"/>
      </rPr>
      <t xml:space="preserve"> A</t>
    </r>
    <r>
      <rPr>
        <sz val="10"/>
        <rFont val="Aptos"/>
        <family val="2"/>
      </rPr>
      <t>/</t>
    </r>
    <r>
      <rPr>
        <vertAlign val="subscript"/>
        <sz val="10"/>
        <rFont val="Aptos"/>
        <family val="2"/>
      </rPr>
      <t>D</t>
    </r>
  </si>
  <si>
    <r>
      <t xml:space="preserve">Cota </t>
    </r>
    <r>
      <rPr>
        <vertAlign val="subscript"/>
        <sz val="10"/>
        <rFont val="Aptos"/>
        <family val="2"/>
      </rPr>
      <t>E3</t>
    </r>
  </si>
  <si>
    <r>
      <t>N</t>
    </r>
    <r>
      <rPr>
        <vertAlign val="subscript"/>
        <sz val="10"/>
        <rFont val="Aptos"/>
        <family val="2"/>
      </rPr>
      <t>K MAX</t>
    </r>
  </si>
  <si>
    <r>
      <t xml:space="preserve">Cota </t>
    </r>
    <r>
      <rPr>
        <vertAlign val="subscript"/>
        <sz val="10"/>
        <rFont val="Aptos"/>
        <family val="2"/>
      </rPr>
      <t>an</t>
    </r>
  </si>
  <si>
    <r>
      <t xml:space="preserve">Cota </t>
    </r>
    <r>
      <rPr>
        <vertAlign val="subscript"/>
        <sz val="10"/>
        <rFont val="Aptos"/>
        <family val="2"/>
      </rPr>
      <t>bn</t>
    </r>
  </si>
  <si>
    <r>
      <t>AS</t>
    </r>
    <r>
      <rPr>
        <vertAlign val="subscript"/>
        <sz val="10"/>
        <color theme="1"/>
        <rFont val="Aptos"/>
        <family val="2"/>
      </rPr>
      <t xml:space="preserve"> TIRANTE NEC</t>
    </r>
  </si>
  <si>
    <r>
      <t>AS</t>
    </r>
    <r>
      <rPr>
        <vertAlign val="subscript"/>
        <sz val="10"/>
        <color theme="1"/>
        <rFont val="Aptos"/>
        <family val="2"/>
      </rPr>
      <t xml:space="preserve"> COSTURA NEC</t>
    </r>
  </si>
  <si>
    <r>
      <t>AS</t>
    </r>
    <r>
      <rPr>
        <vertAlign val="subscript"/>
        <sz val="10"/>
        <color theme="1"/>
        <rFont val="Aptos"/>
        <family val="2"/>
      </rPr>
      <t xml:space="preserve"> TRANSVERSAL NEC</t>
    </r>
  </si>
  <si>
    <r>
      <t>AS</t>
    </r>
    <r>
      <rPr>
        <vertAlign val="subscript"/>
        <sz val="10"/>
        <color theme="1"/>
        <rFont val="Aptos"/>
        <family val="2"/>
      </rPr>
      <t xml:space="preserve"> TIRANTE ADOT</t>
    </r>
  </si>
  <si>
    <r>
      <t>AS</t>
    </r>
    <r>
      <rPr>
        <vertAlign val="subscript"/>
        <sz val="10"/>
        <color theme="1"/>
        <rFont val="Aptos"/>
        <family val="2"/>
      </rPr>
      <t xml:space="preserve"> COSTURA ADOT</t>
    </r>
  </si>
  <si>
    <r>
      <t>AS</t>
    </r>
    <r>
      <rPr>
        <vertAlign val="subscript"/>
        <sz val="10"/>
        <color theme="1"/>
        <rFont val="Aptos"/>
        <family val="2"/>
      </rPr>
      <t xml:space="preserve"> TRANSVERSAL ADOT</t>
    </r>
  </si>
  <si>
    <r>
      <t>MEMÓRIA CONSOLO CURTO - DIMENSIONAMENTO PELO MÉTODO DE BIELAS E TIRANTES</t>
    </r>
    <r>
      <rPr>
        <b/>
        <i/>
        <sz val="11"/>
        <color theme="1"/>
        <rFont val="Aptos"/>
        <family val="2"/>
      </rPr>
      <t xml:space="preserve"> "STRUT-AND-TIE"</t>
    </r>
  </si>
  <si>
    <r>
      <t>F</t>
    </r>
    <r>
      <rPr>
        <vertAlign val="subscript"/>
        <sz val="10"/>
        <color theme="1"/>
        <rFont val="Aptos"/>
        <family val="2"/>
      </rPr>
      <t>CK</t>
    </r>
  </si>
  <si>
    <r>
      <t xml:space="preserve">Relação </t>
    </r>
    <r>
      <rPr>
        <vertAlign val="superscript"/>
        <sz val="10"/>
        <color theme="1"/>
        <rFont val="Aptos"/>
        <family val="2"/>
      </rPr>
      <t>A</t>
    </r>
    <r>
      <rPr>
        <sz val="10"/>
        <color theme="1"/>
        <rFont val="Aptos"/>
        <family val="2"/>
      </rPr>
      <t>/</t>
    </r>
    <r>
      <rPr>
        <vertAlign val="subscript"/>
        <sz val="10"/>
        <color theme="1"/>
        <rFont val="Aptos"/>
        <family val="2"/>
      </rPr>
      <t>D</t>
    </r>
  </si>
  <si>
    <r>
      <t>F</t>
    </r>
    <r>
      <rPr>
        <vertAlign val="subscript"/>
        <sz val="10"/>
        <color theme="1"/>
        <rFont val="Aptos"/>
        <family val="2"/>
      </rPr>
      <t>CD</t>
    </r>
  </si>
  <si>
    <r>
      <t>F</t>
    </r>
    <r>
      <rPr>
        <vertAlign val="subscript"/>
        <sz val="10"/>
        <color theme="1"/>
        <rFont val="Aptos"/>
        <family val="2"/>
      </rPr>
      <t>YK</t>
    </r>
  </si>
  <si>
    <r>
      <t>AS</t>
    </r>
    <r>
      <rPr>
        <vertAlign val="subscript"/>
        <sz val="10"/>
        <color theme="1"/>
        <rFont val="Aptos"/>
        <family val="2"/>
      </rPr>
      <t xml:space="preserve"> TIRANTE</t>
    </r>
  </si>
  <si>
    <r>
      <t>AS</t>
    </r>
    <r>
      <rPr>
        <vertAlign val="subscript"/>
        <sz val="10"/>
        <color theme="1"/>
        <rFont val="Aptos"/>
        <family val="2"/>
      </rPr>
      <t xml:space="preserve"> COSTURA</t>
    </r>
  </si>
  <si>
    <r>
      <t>F</t>
    </r>
    <r>
      <rPr>
        <vertAlign val="subscript"/>
        <sz val="10"/>
        <color theme="1"/>
        <rFont val="Aptos"/>
        <family val="2"/>
      </rPr>
      <t>YD</t>
    </r>
  </si>
  <si>
    <r>
      <t xml:space="preserve">AS </t>
    </r>
    <r>
      <rPr>
        <vertAlign val="subscript"/>
        <sz val="10"/>
        <color theme="1"/>
        <rFont val="Aptos"/>
        <family val="2"/>
      </rPr>
      <t>TRANSVERSAL</t>
    </r>
  </si>
  <si>
    <r>
      <t xml:space="preserve">σ </t>
    </r>
    <r>
      <rPr>
        <vertAlign val="subscript"/>
        <sz val="10"/>
        <color theme="1"/>
        <rFont val="Aptos"/>
        <family val="2"/>
      </rPr>
      <t>TENSÃO DE COMPRESSÃO NA BIELA</t>
    </r>
  </si>
  <si>
    <r>
      <t xml:space="preserve">σ </t>
    </r>
    <r>
      <rPr>
        <vertAlign val="subscript"/>
        <sz val="10"/>
        <color theme="1"/>
        <rFont val="Aptos"/>
        <family val="2"/>
      </rPr>
      <t>TENSÃO DE COMPRESSÃO MÁXIMA NA BIELA</t>
    </r>
  </si>
  <si>
    <r>
      <t xml:space="preserve">Relação </t>
    </r>
    <r>
      <rPr>
        <vertAlign val="superscript"/>
        <sz val="10"/>
        <color theme="1"/>
        <rFont val="Aptos"/>
        <family val="2"/>
      </rPr>
      <t>X</t>
    </r>
    <r>
      <rPr>
        <sz val="10"/>
        <color theme="1"/>
        <rFont val="Aptos"/>
        <family val="2"/>
      </rPr>
      <t>/</t>
    </r>
    <r>
      <rPr>
        <vertAlign val="subscript"/>
        <sz val="10"/>
        <color theme="1"/>
        <rFont val="Aptos"/>
        <family val="2"/>
      </rPr>
      <t>D</t>
    </r>
  </si>
  <si>
    <r>
      <t>N</t>
    </r>
    <r>
      <rPr>
        <vertAlign val="subscript"/>
        <sz val="10"/>
        <color theme="1"/>
        <rFont val="Aptos"/>
        <family val="2"/>
      </rPr>
      <t>K vertical</t>
    </r>
  </si>
  <si>
    <r>
      <t>H</t>
    </r>
    <r>
      <rPr>
        <vertAlign val="subscript"/>
        <sz val="10"/>
        <color theme="1"/>
        <rFont val="Aptos"/>
        <family val="2"/>
      </rPr>
      <t>K horizontal</t>
    </r>
  </si>
  <si>
    <r>
      <t>F</t>
    </r>
    <r>
      <rPr>
        <vertAlign val="subscript"/>
        <sz val="10"/>
        <color theme="1"/>
        <rFont val="Aptos"/>
        <family val="2"/>
      </rPr>
      <t>SD</t>
    </r>
  </si>
  <si>
    <r>
      <t>H</t>
    </r>
    <r>
      <rPr>
        <vertAlign val="subscript"/>
        <sz val="10"/>
        <color theme="1"/>
        <rFont val="Aptos"/>
        <family val="2"/>
      </rPr>
      <t>SD</t>
    </r>
  </si>
  <si>
    <r>
      <t>H</t>
    </r>
    <r>
      <rPr>
        <vertAlign val="subscript"/>
        <sz val="10"/>
        <color theme="1"/>
        <rFont val="Aptos"/>
        <family val="2"/>
      </rPr>
      <t>bie</t>
    </r>
  </si>
  <si>
    <r>
      <t>A</t>
    </r>
    <r>
      <rPr>
        <vertAlign val="subscript"/>
        <sz val="10"/>
        <color theme="1"/>
        <rFont val="Aptos"/>
        <family val="2"/>
      </rPr>
      <t>bie</t>
    </r>
  </si>
  <si>
    <r>
      <t>R</t>
    </r>
    <r>
      <rPr>
        <vertAlign val="subscript"/>
        <sz val="10"/>
        <color theme="1"/>
        <rFont val="Aptos"/>
        <family val="2"/>
      </rPr>
      <t>CD</t>
    </r>
  </si>
  <si>
    <r>
      <t>A</t>
    </r>
    <r>
      <rPr>
        <vertAlign val="subscript"/>
        <sz val="10"/>
        <color theme="1"/>
        <rFont val="Aptos"/>
        <family val="2"/>
      </rPr>
      <t>SV</t>
    </r>
  </si>
  <si>
    <r>
      <t>A</t>
    </r>
    <r>
      <rPr>
        <vertAlign val="subscript"/>
        <sz val="10"/>
        <color theme="1"/>
        <rFont val="Aptos"/>
        <family val="2"/>
      </rPr>
      <t>SH</t>
    </r>
  </si>
  <si>
    <r>
      <t xml:space="preserve">AS </t>
    </r>
    <r>
      <rPr>
        <vertAlign val="subscript"/>
        <sz val="10"/>
        <color theme="1"/>
        <rFont val="Aptos"/>
        <family val="2"/>
      </rPr>
      <t>TIRANTE</t>
    </r>
  </si>
  <si>
    <r>
      <t xml:space="preserve">AS </t>
    </r>
    <r>
      <rPr>
        <vertAlign val="subscript"/>
        <sz val="10"/>
        <color theme="1"/>
        <rFont val="Aptos"/>
        <family val="2"/>
      </rPr>
      <t>TIRANTE MÍNIMO</t>
    </r>
  </si>
  <si>
    <r>
      <t xml:space="preserve">MEMÓRIA CONSOLO MUITO CURTO - DIMENSIONAMENTO PELA TEORIA CISALHAMENTO-ATRITO </t>
    </r>
    <r>
      <rPr>
        <b/>
        <i/>
        <sz val="11"/>
        <rFont val="Aptos"/>
        <family val="2"/>
      </rPr>
      <t>"SHEAR FRICTION"</t>
    </r>
  </si>
  <si>
    <r>
      <t>τ</t>
    </r>
    <r>
      <rPr>
        <vertAlign val="subscript"/>
        <sz val="10"/>
        <color theme="1"/>
        <rFont val="Aptos"/>
        <family val="2"/>
      </rPr>
      <t>WD</t>
    </r>
  </si>
  <si>
    <r>
      <t>τ</t>
    </r>
    <r>
      <rPr>
        <vertAlign val="subscript"/>
        <sz val="10"/>
        <color theme="1"/>
        <rFont val="Aptos"/>
        <family val="2"/>
      </rPr>
      <t>WD LIMITE</t>
    </r>
  </si>
  <si>
    <r>
      <t>τ</t>
    </r>
    <r>
      <rPr>
        <vertAlign val="subscript"/>
        <sz val="10"/>
        <color theme="1"/>
        <rFont val="Aptos"/>
        <family val="2"/>
      </rPr>
      <t>wd</t>
    </r>
  </si>
  <si>
    <r>
      <t>τ</t>
    </r>
    <r>
      <rPr>
        <vertAlign val="subscript"/>
        <sz val="10"/>
        <color theme="1"/>
        <rFont val="Aptos"/>
        <family val="2"/>
      </rPr>
      <t>wu,1</t>
    </r>
  </si>
  <si>
    <r>
      <t>τ</t>
    </r>
    <r>
      <rPr>
        <vertAlign val="subscript"/>
        <sz val="10"/>
        <color theme="1"/>
        <rFont val="Aptos"/>
        <family val="2"/>
      </rPr>
      <t>wu,2</t>
    </r>
  </si>
  <si>
    <r>
      <t>τ</t>
    </r>
    <r>
      <rPr>
        <vertAlign val="subscript"/>
        <sz val="10"/>
        <color theme="1"/>
        <rFont val="Aptos"/>
        <family val="2"/>
      </rPr>
      <t>wu,3</t>
    </r>
  </si>
  <si>
    <r>
      <t>τ</t>
    </r>
    <r>
      <rPr>
        <vertAlign val="subscript"/>
        <sz val="10"/>
        <color theme="1"/>
        <rFont val="Aptos"/>
        <family val="2"/>
      </rPr>
      <t>wu</t>
    </r>
  </si>
  <si>
    <t>DIMENSIONAMENTO, DETALHAMENTO E EXECUÇÃO  - CONSIDERAÇÕES ADICIONAIS</t>
  </si>
  <si>
    <r>
      <t xml:space="preserve">a) Para relação 1,0 &lt; </t>
    </r>
    <r>
      <rPr>
        <vertAlign val="superscript"/>
        <sz val="10"/>
        <color theme="1"/>
        <rFont val="Aptos"/>
        <family val="2"/>
      </rPr>
      <t>A</t>
    </r>
    <r>
      <rPr>
        <sz val="10"/>
        <color theme="1"/>
        <rFont val="Aptos"/>
        <family val="2"/>
      </rPr>
      <t>/</t>
    </r>
    <r>
      <rPr>
        <vertAlign val="subscript"/>
        <sz val="10"/>
        <color theme="1"/>
        <rFont val="Aptos"/>
        <family val="2"/>
      </rPr>
      <t>D</t>
    </r>
    <r>
      <rPr>
        <sz val="10"/>
        <color theme="1"/>
        <rFont val="Aptos"/>
        <family val="2"/>
      </rPr>
      <t xml:space="preserve"> ≤ 2,0 - O dimensionamento é feito como viga em balanço, aplicando-se o disposto na ABNT NBR 6118.</t>
    </r>
  </si>
  <si>
    <r>
      <t xml:space="preserve">b) Para relação 0,5 &lt; </t>
    </r>
    <r>
      <rPr>
        <vertAlign val="superscript"/>
        <sz val="10"/>
        <color theme="1"/>
        <rFont val="Aptos"/>
        <family val="2"/>
      </rPr>
      <t>A</t>
    </r>
    <r>
      <rPr>
        <sz val="10"/>
        <color theme="1"/>
        <rFont val="Aptos"/>
        <family val="2"/>
      </rPr>
      <t>/</t>
    </r>
    <r>
      <rPr>
        <vertAlign val="subscript"/>
        <sz val="10"/>
        <color theme="1"/>
        <rFont val="Aptos"/>
        <family val="2"/>
      </rPr>
      <t>D</t>
    </r>
    <r>
      <rPr>
        <sz val="10"/>
        <color theme="1"/>
        <rFont val="Aptos"/>
        <family val="2"/>
      </rPr>
      <t xml:space="preserve"> ≤ 1,0 - Console curto.</t>
    </r>
  </si>
  <si>
    <r>
      <t xml:space="preserve">c) Para relação  </t>
    </r>
    <r>
      <rPr>
        <vertAlign val="superscript"/>
        <sz val="10"/>
        <color theme="1"/>
        <rFont val="Aptos"/>
        <family val="2"/>
      </rPr>
      <t>A</t>
    </r>
    <r>
      <rPr>
        <sz val="10"/>
        <color theme="1"/>
        <rFont val="Aptos"/>
        <family val="2"/>
      </rPr>
      <t>/</t>
    </r>
    <r>
      <rPr>
        <vertAlign val="subscript"/>
        <sz val="10"/>
        <color theme="1"/>
        <rFont val="Aptos"/>
        <family val="2"/>
      </rPr>
      <t>D</t>
    </r>
    <r>
      <rPr>
        <sz val="10"/>
        <color theme="1"/>
        <rFont val="Aptos"/>
        <family val="2"/>
      </rPr>
      <t xml:space="preserve"> ≤ 0,50 - Console muito curto</t>
    </r>
  </si>
  <si>
    <t>CONCRETO E AÇO</t>
  </si>
  <si>
    <t>GEOMETRIA E CARGAS</t>
  </si>
  <si>
    <t>TIPOLOGIA DO CONSOLO</t>
  </si>
  <si>
    <t>RESUMO CURTO</t>
  </si>
  <si>
    <t>RESUMO MUITO CURTO</t>
  </si>
  <si>
    <t xml:space="preserve">CRITÉRIOS </t>
  </si>
  <si>
    <t>ARMADURAS CALCULADAS AS,nec</t>
  </si>
  <si>
    <t>ARMADURAS ADOTADAS AS,adot</t>
  </si>
  <si>
    <t>RESUMO DE ARMADURAS ADOTADAS</t>
  </si>
  <si>
    <t>Altura consolo - H</t>
  </si>
  <si>
    <t>Carga horizontal - Hk</t>
  </si>
  <si>
    <t>Carga Vertical - Nk</t>
  </si>
  <si>
    <t>Comprimento - L</t>
  </si>
  <si>
    <t>Largura viga - Bw</t>
  </si>
  <si>
    <r>
      <t xml:space="preserve">Limite </t>
    </r>
    <r>
      <rPr>
        <vertAlign val="superscript"/>
        <sz val="10"/>
        <rFont val="Aptos"/>
        <family val="2"/>
      </rPr>
      <t>X</t>
    </r>
    <r>
      <rPr>
        <sz val="10"/>
        <rFont val="Aptos"/>
        <family val="2"/>
      </rPr>
      <t>/</t>
    </r>
    <r>
      <rPr>
        <vertAlign val="subscript"/>
        <sz val="10"/>
        <rFont val="Aptos"/>
        <family val="2"/>
      </rPr>
      <t>D</t>
    </r>
  </si>
  <si>
    <r>
      <t>Fck</t>
    </r>
    <r>
      <rPr>
        <vertAlign val="subscript"/>
        <sz val="10"/>
        <rFont val="Aptos"/>
        <family val="2"/>
      </rPr>
      <t>28 DIAS</t>
    </r>
  </si>
  <si>
    <r>
      <t>σ</t>
    </r>
    <r>
      <rPr>
        <vertAlign val="subscript"/>
        <sz val="10"/>
        <rFont val="Aptos"/>
        <family val="2"/>
      </rPr>
      <t>BIELA</t>
    </r>
  </si>
  <si>
    <r>
      <t>σ</t>
    </r>
    <r>
      <rPr>
        <vertAlign val="subscript"/>
        <sz val="10"/>
        <rFont val="Aptos"/>
        <family val="2"/>
      </rPr>
      <t>BIELA LIMITE</t>
    </r>
  </si>
  <si>
    <r>
      <t xml:space="preserve">As </t>
    </r>
    <r>
      <rPr>
        <vertAlign val="subscript"/>
        <sz val="10"/>
        <rFont val="Aptos"/>
        <family val="2"/>
      </rPr>
      <t>TIR CALC.</t>
    </r>
  </si>
  <si>
    <r>
      <t>AS</t>
    </r>
    <r>
      <rPr>
        <vertAlign val="subscript"/>
        <sz val="10"/>
        <rFont val="Aptos"/>
        <family val="2"/>
      </rPr>
      <t xml:space="preserve">  TIRANTE</t>
    </r>
  </si>
  <si>
    <r>
      <t>τ</t>
    </r>
    <r>
      <rPr>
        <vertAlign val="subscript"/>
        <sz val="10"/>
        <rFont val="Aptos"/>
        <family val="2"/>
      </rPr>
      <t>wu LIMITE</t>
    </r>
  </si>
  <si>
    <r>
      <rPr>
        <sz val="10"/>
        <rFont val="Symbol"/>
        <family val="1"/>
        <charset val="2"/>
      </rPr>
      <t>g</t>
    </r>
    <r>
      <rPr>
        <sz val="10"/>
        <rFont val="Aptos"/>
        <family val="2"/>
      </rPr>
      <t>k</t>
    </r>
    <r>
      <rPr>
        <vertAlign val="subscript"/>
        <sz val="10"/>
        <rFont val="Aptos"/>
        <family val="2"/>
      </rPr>
      <t xml:space="preserve"> CARGAS</t>
    </r>
  </si>
  <si>
    <r>
      <rPr>
        <sz val="10"/>
        <rFont val="Symbol"/>
        <family val="1"/>
        <charset val="2"/>
      </rPr>
      <t>g</t>
    </r>
    <r>
      <rPr>
        <sz val="10"/>
        <rFont val="Aptos"/>
        <family val="2"/>
      </rPr>
      <t>c</t>
    </r>
    <r>
      <rPr>
        <vertAlign val="subscript"/>
        <sz val="10"/>
        <rFont val="Aptos"/>
        <family val="2"/>
      </rPr>
      <t xml:space="preserve"> CONCRETO</t>
    </r>
  </si>
  <si>
    <r>
      <rPr>
        <sz val="10"/>
        <rFont val="Symbol"/>
        <family val="1"/>
        <charset val="2"/>
      </rPr>
      <t>g</t>
    </r>
    <r>
      <rPr>
        <sz val="10"/>
        <rFont val="Aptos"/>
        <family val="2"/>
      </rPr>
      <t>s</t>
    </r>
    <r>
      <rPr>
        <vertAlign val="subscript"/>
        <sz val="10"/>
        <rFont val="Aptos"/>
        <family val="2"/>
      </rPr>
      <t xml:space="preserve"> AÇO</t>
    </r>
  </si>
  <si>
    <r>
      <rPr>
        <sz val="10"/>
        <rFont val="Symbol"/>
        <family val="1"/>
        <charset val="2"/>
      </rPr>
      <t>s</t>
    </r>
    <r>
      <rPr>
        <vertAlign val="subscript"/>
        <sz val="10"/>
        <rFont val="Aptos"/>
        <family val="2"/>
      </rPr>
      <t xml:space="preserve"> MÁXIMA APARELHO</t>
    </r>
  </si>
  <si>
    <r>
      <rPr>
        <sz val="10"/>
        <rFont val="Symbol"/>
        <family val="1"/>
        <charset val="2"/>
      </rPr>
      <t>s</t>
    </r>
    <r>
      <rPr>
        <vertAlign val="subscript"/>
        <sz val="10"/>
        <rFont val="Aptos"/>
        <family val="2"/>
      </rPr>
      <t xml:space="preserve"> ATUANTE NO APARELHO</t>
    </r>
  </si>
  <si>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Aptos"/>
        <family val="2"/>
      </rPr>
      <t>c</t>
    </r>
    <r>
      <rPr>
        <vertAlign val="subscript"/>
        <sz val="10"/>
        <color theme="1"/>
        <rFont val="Aptos"/>
        <family val="2"/>
      </rPr>
      <t xml:space="preserve"> concreto</t>
    </r>
  </si>
  <si>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Aptos"/>
        <family val="2"/>
      </rPr>
      <t>k</t>
    </r>
    <r>
      <rPr>
        <vertAlign val="subscript"/>
        <sz val="10"/>
        <color theme="1"/>
        <rFont val="Aptos"/>
        <family val="2"/>
      </rPr>
      <t xml:space="preserve"> cargas</t>
    </r>
  </si>
  <si>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Aptos"/>
        <family val="2"/>
      </rPr>
      <t>n</t>
    </r>
    <r>
      <rPr>
        <vertAlign val="subscript"/>
        <sz val="10"/>
        <color theme="1"/>
        <rFont val="Aptos"/>
        <family val="2"/>
      </rPr>
      <t xml:space="preserve"> fase de execução</t>
    </r>
  </si>
  <si>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Aptos"/>
        <family val="2"/>
      </rPr>
      <t>s</t>
    </r>
    <r>
      <rPr>
        <vertAlign val="subscript"/>
        <sz val="10"/>
        <color theme="1"/>
        <rFont val="Aptos"/>
        <family val="2"/>
      </rPr>
      <t xml:space="preserve"> aço</t>
    </r>
  </si>
  <si>
    <t>MATERIAIS</t>
  </si>
  <si>
    <t>CARGAS SOLICITANTES</t>
  </si>
  <si>
    <t>DIMENSIONAMENTO</t>
  </si>
  <si>
    <t>HIPÓTESES DE CÁLCULO</t>
  </si>
  <si>
    <t>VERIFICAÇÃO DA BIELA COMPRIMIDA</t>
  </si>
  <si>
    <t>CONSIDERAÇÕES IMPORTANTES</t>
  </si>
  <si>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Aptos"/>
        <family val="2"/>
      </rPr>
      <t>c</t>
    </r>
    <r>
      <rPr>
        <vertAlign val="subscript"/>
        <sz val="10"/>
        <color theme="1"/>
        <rFont val="Aptos"/>
        <family val="2"/>
      </rPr>
      <t xml:space="preserve"> CONCRETO</t>
    </r>
  </si>
  <si>
    <r>
      <rPr>
        <b/>
        <sz val="10"/>
        <rFont val="Aptos Light"/>
        <family val="2"/>
      </rPr>
      <t xml:space="preserve">1.2 </t>
    </r>
    <r>
      <rPr>
        <sz val="10"/>
        <rFont val="Aptos Light"/>
        <family val="2"/>
      </rPr>
      <t>Ao utilizar a planilha, o usuário concorda com os termos de uso descritos neste documento.</t>
    </r>
  </si>
  <si>
    <r>
      <rPr>
        <b/>
        <sz val="10"/>
        <rFont val="Aptos Light"/>
        <family val="2"/>
      </rPr>
      <t xml:space="preserve">2.1 </t>
    </r>
    <r>
      <rPr>
        <sz val="10"/>
        <rFont val="Aptos Light"/>
        <family val="2"/>
      </rPr>
      <t>A utilização desta planilha só é possível em computadores e usuários previamente cadastrados e com as macros habilitadas.</t>
    </r>
  </si>
  <si>
    <r>
      <rPr>
        <b/>
        <sz val="10"/>
        <rFont val="Aptos Light"/>
        <family val="2"/>
      </rPr>
      <t xml:space="preserve">2.2 </t>
    </r>
    <r>
      <rPr>
        <sz val="10"/>
        <rFont val="Aptos Light"/>
        <family val="2"/>
      </rPr>
      <t>A guia "Início" da planilha não pode ser excluída. A exclusão será considerada uma violação de segurança e resultará na desconfiguração automática da planilha.</t>
    </r>
  </si>
  <si>
    <r>
      <rPr>
        <b/>
        <sz val="10"/>
        <rFont val="Aptos Light"/>
        <family val="2"/>
      </rPr>
      <t xml:space="preserve">3.1 </t>
    </r>
    <r>
      <rPr>
        <sz val="10"/>
        <rFont val="Aptos Light"/>
        <family val="2"/>
      </rPr>
      <t>Os resultados obtidos deverão ser analisados técnicamente por profissional habilitado, que é o responsável por validar as informações apresentadas.</t>
    </r>
  </si>
  <si>
    <r>
      <rPr>
        <b/>
        <sz val="10"/>
        <rFont val="Aptos Light"/>
        <family val="2"/>
      </rPr>
      <t xml:space="preserve">3.2 </t>
    </r>
    <r>
      <rPr>
        <sz val="10"/>
        <rFont val="Aptos Light"/>
        <family val="2"/>
      </rPr>
      <t>Esta é uma ferramenta auxiliar para o engenheiro, e não substitui sua responsabilidade na definição, verificação, dimensionamento e detalhamento da estrutura.</t>
    </r>
  </si>
  <si>
    <r>
      <rPr>
        <b/>
        <sz val="10"/>
        <rFont val="Aptos Light"/>
        <family val="2"/>
      </rPr>
      <t xml:space="preserve">3.3 </t>
    </r>
    <r>
      <rPr>
        <sz val="10"/>
        <rFont val="Aptos Light"/>
        <family val="2"/>
      </rPr>
      <t>O desenvolvedor não tem qualquer tipo de responsabilidade pela interpretação/uso dos resultados obtidos a partir da utilização da planilha.</t>
    </r>
  </si>
  <si>
    <r>
      <rPr>
        <b/>
        <sz val="10"/>
        <rFont val="Aptos Light"/>
        <family val="2"/>
      </rPr>
      <t>3.4</t>
    </r>
    <r>
      <rPr>
        <sz val="10"/>
        <rFont val="Aptos Light"/>
        <family val="2"/>
      </rPr>
      <t xml:space="preserve"> O usuário é responsável por verificar a validade e a precisão dos resultados obtidos pela planilha antes de aceitá-los e tomar decisões baseadas neles.</t>
    </r>
  </si>
  <si>
    <r>
      <rPr>
        <b/>
        <sz val="10"/>
        <rFont val="Aptos Light"/>
        <family val="2"/>
      </rPr>
      <t xml:space="preserve">4.1 </t>
    </r>
    <r>
      <rPr>
        <sz val="10"/>
        <rFont val="Aptos Light"/>
        <family val="2"/>
      </rPr>
      <t>O desenvolvedor se reserva o direito de fazer atualizações na planilha a qualquer momento e sem aviso prévio.</t>
    </r>
  </si>
  <si>
    <r>
      <rPr>
        <b/>
        <sz val="10"/>
        <rFont val="Aptos Light"/>
        <family val="2"/>
      </rPr>
      <t xml:space="preserve">4.3 </t>
    </r>
    <r>
      <rPr>
        <sz val="10"/>
        <rFont val="Aptos Light"/>
        <family val="2"/>
      </rPr>
      <t xml:space="preserve">O usuário concorda em informar imediatamente ao autor sobre quaisquer erros ou bugs encontrados na planilha. </t>
    </r>
  </si>
  <si>
    <r>
      <rPr>
        <b/>
        <sz val="10"/>
        <rFont val="Aptos Light"/>
        <family val="2"/>
      </rPr>
      <t>4.4</t>
    </r>
    <r>
      <rPr>
        <sz val="10"/>
        <rFont val="Aptos Light"/>
        <family val="2"/>
      </rPr>
      <t xml:space="preserve"> O usuário concorda em fornecer informações detalhadas sobre o erro ou bug, incluindo as etapas para reproduzir o problema.</t>
    </r>
  </si>
  <si>
    <r>
      <rPr>
        <b/>
        <sz val="10"/>
        <rFont val="Aptos Light"/>
        <family val="2"/>
      </rPr>
      <t xml:space="preserve">5.1 </t>
    </r>
    <r>
      <rPr>
        <sz val="10"/>
        <rFont val="Aptos Light"/>
        <family val="2"/>
      </rPr>
      <t>O desenvolvedor da planilha não será responsável por quaisquer danos diretos, indiretos, acidentais, especiais, conseqüentes ou exemplares, incluindo, mas não se limitando</t>
    </r>
  </si>
  <si>
    <r>
      <rPr>
        <b/>
        <sz val="10"/>
        <rFont val="Aptos Light"/>
        <family val="2"/>
      </rPr>
      <t xml:space="preserve">6.1 </t>
    </r>
    <r>
      <rPr>
        <sz val="10"/>
        <rFont val="Aptos Light"/>
        <family val="2"/>
      </rPr>
      <t>Os direitos autorais desta planilha são de propriedade exclusiva do seu desenvolvedor, Engenheiro Civil Guilherme Luiz Nardelli, com registro CREA/SC número 147847-2.</t>
    </r>
  </si>
  <si>
    <r>
      <rPr>
        <b/>
        <sz val="10"/>
        <rFont val="Aptos Light"/>
        <family val="2"/>
      </rPr>
      <t xml:space="preserve">6.2 </t>
    </r>
    <r>
      <rPr>
        <sz val="10"/>
        <rFont val="Aptos Light"/>
        <family val="2"/>
      </rPr>
      <t>O uso não autorizado da planilha, constitui uma violação dos direitos autorais do desenvolvedor e pode resultar em ações judiciais.</t>
    </r>
  </si>
  <si>
    <r>
      <rPr>
        <b/>
        <sz val="10"/>
        <rFont val="Aptos Light"/>
        <family val="2"/>
      </rPr>
      <t>6.3</t>
    </r>
    <r>
      <rPr>
        <sz val="10"/>
        <rFont val="Aptos Light"/>
        <family val="2"/>
      </rPr>
      <t xml:space="preserve"> É proibido reproduzir, comercializar, emprestar, alugar ou doar total ou parcialmente esta planilha, assim como alterá-la ou modificá-la através de qualquer meio possível.</t>
    </r>
  </si>
  <si>
    <r>
      <rPr>
        <b/>
        <sz val="10"/>
        <rFont val="Aptos Light"/>
        <family val="2"/>
      </rPr>
      <t xml:space="preserve">6.4 </t>
    </r>
    <r>
      <rPr>
        <sz val="10"/>
        <rFont val="Aptos Light"/>
        <family val="2"/>
      </rPr>
      <t xml:space="preserve">A propriedade intelectual da planilha, incluindo, mas não se limitando a seu código fonte, design, gráficos, imagens e textos, é de propriedade exclusiva do desenvolvedor e </t>
    </r>
  </si>
  <si>
    <r>
      <rPr>
        <b/>
        <sz val="10"/>
        <rFont val="Aptos Light"/>
        <family val="2"/>
      </rPr>
      <t xml:space="preserve">6.5 </t>
    </r>
    <r>
      <rPr>
        <sz val="10"/>
        <rFont val="Aptos Light"/>
        <family val="2"/>
      </rPr>
      <t>O usuário concorda em indenizar e isentar o autor de qualquer reivindicação, danos e despesas, incluindo honorários advocatícios, decorrentes do uso não autorizado.</t>
    </r>
  </si>
  <si>
    <r>
      <rPr>
        <b/>
        <sz val="10"/>
        <rFont val="Aptos Light"/>
        <family val="2"/>
      </rPr>
      <t xml:space="preserve">1.4 </t>
    </r>
    <r>
      <rPr>
        <sz val="10"/>
        <rFont val="Aptos Light"/>
        <family val="2"/>
      </rPr>
      <t>Autorização de uso por 12 meses a partir de 04/03/2024, prorrogável por acordo escrito. Utilização para fins de teste e otimização.</t>
    </r>
  </si>
  <si>
    <r>
      <rPr>
        <b/>
        <sz val="10"/>
        <rFont val="Aptos Light"/>
        <family val="2"/>
      </rPr>
      <t xml:space="preserve">4.2 </t>
    </r>
    <r>
      <rPr>
        <sz val="10"/>
        <rFont val="Aptos Light"/>
        <family val="2"/>
      </rPr>
      <t>O suporte técnico somente será prestado aos colaboradores da GN ESTRUTURAS, durante o prazo de vigência da autorização de uso.</t>
    </r>
  </si>
  <si>
    <r>
      <rPr>
        <b/>
        <sz val="10"/>
        <rFont val="Aptos Light"/>
        <family val="2"/>
      </rPr>
      <t xml:space="preserve">1.1 </t>
    </r>
    <r>
      <rPr>
        <sz val="10"/>
        <rFont val="Aptos Light"/>
        <family val="2"/>
      </rPr>
      <t>O presente documento autoriza a utilização da planilha "</t>
    </r>
    <r>
      <rPr>
        <b/>
        <sz val="10"/>
        <rFont val="Aptos Light"/>
        <family val="2"/>
      </rPr>
      <t>PRÉ-CONSOLE.xlsm</t>
    </r>
    <r>
      <rPr>
        <sz val="10"/>
        <rFont val="Aptos Light"/>
        <family val="2"/>
      </rPr>
      <t>" pelos colaboradores da</t>
    </r>
    <r>
      <rPr>
        <b/>
        <sz val="10"/>
        <rFont val="Aptos Light"/>
        <family val="2"/>
      </rPr>
      <t xml:space="preserve"> GN ESTRUTURAS</t>
    </r>
    <r>
      <rPr>
        <sz val="10"/>
        <rFont val="Aptos Light"/>
        <family val="2"/>
      </rPr>
      <t xml:space="preserve">, na sua versão mais recente. </t>
    </r>
  </si>
  <si>
    <r>
      <rPr>
        <b/>
        <sz val="10"/>
        <rFont val="Aptos Light"/>
        <family val="2"/>
      </rPr>
      <t xml:space="preserve">1.3 </t>
    </r>
    <r>
      <rPr>
        <sz val="10"/>
        <rFont val="Aptos Light"/>
        <family val="2"/>
      </rPr>
      <t xml:space="preserve">A autorização de uso é exclusiva aos colaboradores da </t>
    </r>
    <r>
      <rPr>
        <b/>
        <sz val="10"/>
        <rFont val="Aptos Light"/>
        <family val="2"/>
      </rPr>
      <t>GN ESTRUTURAS</t>
    </r>
    <r>
      <rPr>
        <sz val="10"/>
        <rFont val="Aptos Light"/>
        <family val="2"/>
      </rPr>
      <t xml:space="preserve"> e não é permitido reproduzir ou compartilhar a planilha.</t>
    </r>
  </si>
  <si>
    <r>
      <rPr>
        <b/>
        <sz val="10"/>
        <rFont val="Symbol"/>
        <family val="1"/>
        <charset val="2"/>
      </rPr>
      <t xml:space="preserve">s </t>
    </r>
    <r>
      <rPr>
        <b/>
        <sz val="10"/>
        <rFont val="Aptos"/>
        <family val="2"/>
      </rPr>
      <t>Atuante no Neoprene</t>
    </r>
  </si>
  <si>
    <t>30x25</t>
  </si>
  <si>
    <r>
      <rPr>
        <b/>
        <sz val="10"/>
        <rFont val="Symbol"/>
        <family val="1"/>
        <charset val="2"/>
      </rPr>
      <t>s</t>
    </r>
    <r>
      <rPr>
        <b/>
        <sz val="10"/>
        <rFont val="Aptos"/>
        <family val="2"/>
      </rPr>
      <t xml:space="preserve"> Atuante </t>
    </r>
  </si>
  <si>
    <t>MC</t>
  </si>
  <si>
    <t>C</t>
  </si>
  <si>
    <t>2 Ø 16,0 mm</t>
  </si>
  <si>
    <t>Ancoragem das armaduras</t>
  </si>
  <si>
    <r>
      <rPr>
        <b/>
        <sz val="11"/>
        <color theme="1"/>
        <rFont val="Aptos"/>
        <family val="2"/>
      </rPr>
      <t>1.</t>
    </r>
    <r>
      <rPr>
        <sz val="11"/>
        <color theme="1"/>
        <rFont val="Aptos"/>
        <family val="2"/>
      </rPr>
      <t xml:space="preserve"> Neoprene simples Shore A-60  # 1 cm - </t>
    </r>
    <r>
      <rPr>
        <sz val="12"/>
        <rFont val="Aptos"/>
        <family val="2"/>
      </rPr>
      <t>s</t>
    </r>
    <r>
      <rPr>
        <sz val="9"/>
        <rFont val="Aptos"/>
        <family val="2"/>
      </rPr>
      <t>máx</t>
    </r>
    <r>
      <rPr>
        <sz val="11"/>
        <color theme="1"/>
        <rFont val="Aptos"/>
        <family val="2"/>
      </rPr>
      <t xml:space="preserve"> </t>
    </r>
    <r>
      <rPr>
        <sz val="10"/>
        <rFont val="Aptos"/>
        <family val="2"/>
      </rPr>
      <t>7 Mpa</t>
    </r>
  </si>
  <si>
    <r>
      <rPr>
        <b/>
        <sz val="11"/>
        <color theme="1"/>
        <rFont val="Aptos"/>
        <family val="2"/>
      </rPr>
      <t>2.</t>
    </r>
    <r>
      <rPr>
        <sz val="11"/>
        <color theme="1"/>
        <rFont val="Aptos"/>
        <family val="2"/>
      </rPr>
      <t xml:space="preserve"> Fck 40 Mpa | </t>
    </r>
    <r>
      <rPr>
        <sz val="11"/>
        <rFont val="Aptos"/>
        <family val="2"/>
      </rPr>
      <t>s</t>
    </r>
    <r>
      <rPr>
        <sz val="9"/>
        <rFont val="Aptos"/>
        <family val="2"/>
      </rPr>
      <t>máx</t>
    </r>
    <r>
      <rPr>
        <sz val="11"/>
        <color theme="1"/>
        <rFont val="Aptos"/>
        <family val="2"/>
      </rPr>
      <t xml:space="preserve"> na biela 17,28</t>
    </r>
    <r>
      <rPr>
        <sz val="10"/>
        <rFont val="Aptos"/>
        <family val="2"/>
      </rPr>
      <t xml:space="preserve"> Mpa</t>
    </r>
    <r>
      <rPr>
        <sz val="11"/>
        <color theme="1"/>
        <rFont val="Aptos"/>
        <family val="2"/>
      </rPr>
      <t xml:space="preserve"> (fcd)</t>
    </r>
  </si>
  <si>
    <r>
      <rPr>
        <b/>
        <sz val="11"/>
        <color theme="1"/>
        <rFont val="Aptos"/>
        <family val="2"/>
      </rPr>
      <t>3.</t>
    </r>
    <r>
      <rPr>
        <sz val="11"/>
        <color theme="1"/>
        <rFont val="Aptos"/>
        <family val="2"/>
      </rPr>
      <t xml:space="preserve"> Consolo concretado em segunda fase.</t>
    </r>
  </si>
  <si>
    <r>
      <rPr>
        <b/>
        <sz val="11"/>
        <color theme="1"/>
        <rFont val="Aptos"/>
        <family val="2"/>
      </rPr>
      <t>4.</t>
    </r>
    <r>
      <rPr>
        <sz val="11"/>
        <color theme="1"/>
        <rFont val="Aptos"/>
        <family val="2"/>
      </rPr>
      <t xml:space="preserve"> Armadura de costura indicada, considerada igualmente distribuída.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</si>
</sst>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9">
    <numFmt numFmtId="164" formatCode="0.00\ &quot;º&quot;"/>
    <numFmt numFmtId="165" formatCode="General\ &quot;cm&quot;"/>
    <numFmt numFmtId="166" formatCode="\Ø\ 0.00\ &quot;mm&quot;"/>
    <numFmt numFmtId="167" formatCode="0.00\ &quot;cm&quot;"/>
    <numFmt numFmtId="168" formatCode="0.00\ &quot;Tf&quot;"/>
    <numFmt numFmtId="169" formatCode="General\ &quot;Mpa&quot;"/>
    <numFmt numFmtId="170" formatCode="0.00\ &quot;cm²&quot;"/>
    <numFmt numFmtId="171" formatCode="0.00\ &quot;Mpa&quot;"/>
    <numFmt numFmtId="172" formatCode="0.0000"/>
    <numFmt numFmtId="173" formatCode="0\ &quot;Mpa&quot;"/>
    <numFmt numFmtId="174" formatCode="0.00\ &quot;tf&quot;"/>
    <numFmt numFmtId="175" formatCode="0\ &quot;cm&quot;"/>
    <numFmt numFmtId="176" formatCode="0.00\ &quot;ton&quot;"/>
    <numFmt numFmtId="177" formatCode="&quot;Ø&quot;\ 0.00\ &quot;mm&quot;"/>
    <numFmt numFmtId="178" formatCode="0.000"/>
    <numFmt numFmtId="179" formatCode="General\ &quot;estribos&quot;"/>
    <numFmt numFmtId="180" formatCode="General\ &quot;grampos&quot;"/>
    <numFmt numFmtId="181" formatCode="General\ &quot;tirantes&quot;"/>
    <numFmt numFmtId="182" formatCode="General\ &quot;ramos&quot;"/>
    <numFmt numFmtId="183" formatCode="0.000\ &quot;Mpa&quot;"/>
    <numFmt numFmtId="184" formatCode="General\ &quot;barras&quot;"/>
    <numFmt numFmtId="185" formatCode="&quot;lb=&quot;\ 0.00\ &quot;cm&quot;"/>
    <numFmt numFmtId="186" formatCode="General\ &quot;cm²&quot;"/>
    <numFmt numFmtId="187" formatCode="General\ &quot;cm^4&quot;"/>
    <numFmt numFmtId="188" formatCode="General\ &quot;cm³&quot;"/>
    <numFmt numFmtId="189" formatCode="0.00\ &quot;kN.cm&quot;"/>
    <numFmt numFmtId="190" formatCode="0.00\ &quot;cm²/m&quot;"/>
    <numFmt numFmtId="191" formatCode="0.00\ &quot;mm&quot;"/>
    <numFmt numFmtId="192" formatCode="General\ &quot;x&quot;"/>
  </numFmts>
  <fonts count="60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565656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vertAlign val="subscript"/>
      <sz val="10"/>
      <name val="Calibri"/>
      <family val="2"/>
      <scheme val="minor"/>
    </font>
    <font>
      <b/>
      <sz val="10"/>
      <name val="Tahoma"/>
      <family val="2"/>
    </font>
    <font>
      <sz val="10"/>
      <name val="Symbol"/>
      <family val="1"/>
      <charset val="2"/>
    </font>
    <font>
      <b/>
      <vertAlign val="subscript"/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entury Gothic"/>
      <family val="2"/>
    </font>
    <font>
      <b/>
      <sz val="1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2"/>
      <name val="Symbol"/>
      <family val="1"/>
      <charset val="2"/>
    </font>
    <font>
      <sz val="9"/>
      <name val="Arial"/>
      <family val="2"/>
    </font>
    <font>
      <b/>
      <sz val="10"/>
      <name val="Arial"/>
      <family val="2"/>
    </font>
    <font>
      <sz val="11"/>
      <name val="Symbol"/>
      <family val="1"/>
      <charset val="2"/>
    </font>
    <font>
      <sz val="10"/>
      <color theme="0"/>
      <name val="Arial"/>
      <family val="2"/>
    </font>
    <font>
      <b/>
      <sz val="10"/>
      <color rgb="FFFF0000"/>
      <name val="Calibri"/>
      <family val="2"/>
      <scheme val="minor"/>
    </font>
    <font>
      <b/>
      <sz val="10"/>
      <name val="Calibri"/>
      <family val="1"/>
      <charset val="2"/>
      <scheme val="minor"/>
    </font>
    <font>
      <b/>
      <sz val="10"/>
      <name val="Symbol"/>
      <family val="1"/>
      <charset val="2"/>
    </font>
    <font>
      <b/>
      <sz val="10"/>
      <color rgb="FFF79646"/>
      <name val="Calibri"/>
      <family val="2"/>
      <scheme val="minor"/>
    </font>
    <font>
      <sz val="10"/>
      <color theme="1"/>
      <name val="Aptos"/>
      <family val="2"/>
    </font>
    <font>
      <b/>
      <sz val="10"/>
      <name val="Aptos"/>
      <family val="2"/>
    </font>
    <font>
      <b/>
      <sz val="10"/>
      <color theme="3"/>
      <name val="Aptos"/>
      <family val="2"/>
    </font>
    <font>
      <sz val="11"/>
      <color theme="1"/>
      <name val="Aptos"/>
      <family val="2"/>
    </font>
    <font>
      <sz val="10"/>
      <name val="Aptos"/>
      <family val="2"/>
    </font>
    <font>
      <b/>
      <sz val="11"/>
      <name val="Aptos"/>
      <family val="2"/>
    </font>
    <font>
      <vertAlign val="subscript"/>
      <sz val="10"/>
      <name val="Aptos"/>
      <family val="2"/>
    </font>
    <font>
      <vertAlign val="superscript"/>
      <sz val="10"/>
      <name val="Aptos"/>
      <family val="2"/>
    </font>
    <font>
      <sz val="10"/>
      <color theme="1" tint="0.249977111117893"/>
      <name val="Aptos"/>
      <family val="2"/>
    </font>
    <font>
      <sz val="10"/>
      <color theme="0"/>
      <name val="Aptos"/>
      <family val="2"/>
    </font>
    <font>
      <vertAlign val="subscript"/>
      <sz val="10"/>
      <color theme="1"/>
      <name val="Aptos"/>
      <family val="2"/>
    </font>
    <font>
      <b/>
      <sz val="11"/>
      <color theme="1"/>
      <name val="Aptos"/>
      <family val="2"/>
    </font>
    <font>
      <b/>
      <i/>
      <sz val="11"/>
      <color theme="1"/>
      <name val="Aptos"/>
      <family val="2"/>
    </font>
    <font>
      <vertAlign val="superscript"/>
      <sz val="10"/>
      <color theme="1"/>
      <name val="Aptos"/>
      <family val="2"/>
    </font>
    <font>
      <b/>
      <i/>
      <sz val="11"/>
      <name val="Aptos"/>
      <family val="2"/>
    </font>
    <font>
      <sz val="10"/>
      <name val="Aptos Light"/>
      <family val="2"/>
    </font>
    <font>
      <sz val="10"/>
      <color theme="1"/>
      <name val="Aptos Light"/>
      <family val="2"/>
    </font>
    <font>
      <sz val="10"/>
      <name val="Aptos"/>
      <family val="1"/>
      <charset val="2"/>
    </font>
    <font>
      <sz val="10"/>
      <color theme="1"/>
      <name val="Symbol"/>
      <family val="1"/>
      <charset val="2"/>
    </font>
    <font>
      <sz val="10"/>
      <color theme="1"/>
      <name val="Aptos"/>
      <family val="1"/>
      <charset val="2"/>
    </font>
    <font>
      <sz val="10"/>
      <color rgb="FF002060"/>
      <name val="Aptos"/>
      <family val="2"/>
    </font>
    <font>
      <b/>
      <sz val="10"/>
      <name val="Aptos Light"/>
      <family val="2"/>
    </font>
    <font>
      <b/>
      <sz val="10"/>
      <color rgb="FFF79646"/>
      <name val="Aptos"/>
      <family val="2"/>
    </font>
    <font>
      <b/>
      <sz val="12"/>
      <color rgb="FF0000FF"/>
      <name val="Aptos"/>
      <family val="2"/>
    </font>
    <font>
      <b/>
      <sz val="10"/>
      <name val="Aptos"/>
      <family val="1"/>
      <charset val="2"/>
    </font>
    <font>
      <b/>
      <sz val="11"/>
      <color theme="4"/>
      <name val="Aptos"/>
      <family val="2"/>
    </font>
    <font>
      <sz val="12"/>
      <name val="Aptos"/>
      <family val="2"/>
    </font>
    <font>
      <sz val="9"/>
      <name val="Aptos"/>
      <family val="2"/>
    </font>
    <font>
      <sz val="11"/>
      <name val="Aptos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AABFF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DE9D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rgb="FF565656"/>
      </left>
      <right style="thin">
        <color rgb="FF565656"/>
      </right>
      <top style="thin">
        <color rgb="FF565656"/>
      </top>
      <bottom style="thin">
        <color rgb="FF565656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rgb="FF565656"/>
      </left>
      <right style="thin">
        <color theme="0" tint="-0.34998626667073579"/>
      </right>
      <top style="thin">
        <color rgb="FF565656"/>
      </top>
      <bottom style="thin">
        <color rgb="FF565656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3">
    <xf numFmtId="0" fontId="0" fillId="0" borderId="0"/>
    <xf numFmtId="173" fontId="2" fillId="3" borderId="7" applyNumberFormat="0" applyProtection="0">
      <alignment horizontal="center" vertical="center"/>
      <protection locked="0"/>
    </xf>
    <xf numFmtId="0" fontId="3" fillId="4" borderId="0">
      <alignment horizontal="right" vertical="center"/>
    </xf>
    <xf numFmtId="170" fontId="1" fillId="4" borderId="8" applyNumberFormat="0">
      <alignment horizontal="center" vertical="center"/>
    </xf>
    <xf numFmtId="164" fontId="4" fillId="0" borderId="0" applyNumberFormat="0" applyProtection="0">
      <alignment horizontal="right" vertical="center"/>
    </xf>
    <xf numFmtId="0" fontId="3" fillId="0" borderId="0" applyNumberFormat="0" applyProtection="0">
      <alignment horizontal="right" vertical="center"/>
    </xf>
    <xf numFmtId="171" fontId="5" fillId="5" borderId="10" applyNumberFormat="0" applyProtection="0">
      <alignment horizontal="center" vertical="center"/>
    </xf>
    <xf numFmtId="0" fontId="8" fillId="0" borderId="0"/>
    <xf numFmtId="0" fontId="19" fillId="10" borderId="0" applyNumberFormat="0" applyBorder="0" applyAlignment="0" applyProtection="0"/>
    <xf numFmtId="0" fontId="19" fillId="11" borderId="0" applyNumberFormat="0" applyBorder="0" applyAlignment="0" applyProtection="0"/>
    <xf numFmtId="0" fontId="19" fillId="12" borderId="0" applyNumberFormat="0" applyBorder="0" applyAlignment="0" applyProtection="0"/>
    <xf numFmtId="0" fontId="20" fillId="9" borderId="19">
      <alignment horizontal="center" vertical="center"/>
    </xf>
    <xf numFmtId="0" fontId="19" fillId="0" borderId="0"/>
  </cellStyleXfs>
  <cellXfs count="264">
    <xf numFmtId="0" fontId="0" fillId="0" borderId="0" xfId="0"/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/>
    <xf numFmtId="168" fontId="7" fillId="2" borderId="0" xfId="0" applyNumberFormat="1" applyFont="1" applyFill="1" applyAlignment="1">
      <alignment horizontal="center" vertical="center"/>
    </xf>
    <xf numFmtId="164" fontId="7" fillId="2" borderId="0" xfId="0" applyNumberFormat="1" applyFont="1" applyFill="1" applyAlignment="1">
      <alignment horizontal="center" vertical="center"/>
    </xf>
    <xf numFmtId="167" fontId="7" fillId="2" borderId="0" xfId="0" applyNumberFormat="1" applyFont="1" applyFill="1" applyAlignment="1">
      <alignment horizontal="center" vertical="center"/>
    </xf>
    <xf numFmtId="170" fontId="7" fillId="2" borderId="0" xfId="0" applyNumberFormat="1" applyFont="1" applyFill="1" applyAlignment="1">
      <alignment horizontal="center" vertical="center"/>
    </xf>
    <xf numFmtId="171" fontId="7" fillId="2" borderId="0" xfId="0" applyNumberFormat="1" applyFont="1" applyFill="1" applyAlignment="1">
      <alignment horizontal="center" vertical="center"/>
    </xf>
    <xf numFmtId="169" fontId="7" fillId="2" borderId="0" xfId="0" applyNumberFormat="1" applyFont="1" applyFill="1" applyAlignment="1">
      <alignment horizontal="center" vertical="center"/>
    </xf>
    <xf numFmtId="172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2" fontId="7" fillId="2" borderId="0" xfId="0" applyNumberFormat="1" applyFont="1" applyFill="1" applyAlignment="1">
      <alignment horizontal="center" vertical="center"/>
    </xf>
    <xf numFmtId="184" fontId="7" fillId="6" borderId="0" xfId="0" applyNumberFormat="1" applyFont="1" applyFill="1" applyAlignment="1">
      <alignment horizontal="center" vertical="center"/>
    </xf>
    <xf numFmtId="177" fontId="7" fillId="6" borderId="0" xfId="0" applyNumberFormat="1" applyFont="1" applyFill="1" applyAlignment="1">
      <alignment horizontal="center" vertical="center"/>
    </xf>
    <xf numFmtId="183" fontId="7" fillId="2" borderId="0" xfId="0" applyNumberFormat="1" applyFont="1" applyFill="1" applyAlignment="1">
      <alignment horizontal="center" vertical="center"/>
    </xf>
    <xf numFmtId="170" fontId="7" fillId="6" borderId="0" xfId="0" applyNumberFormat="1" applyFont="1" applyFill="1" applyAlignment="1">
      <alignment horizontal="center" vertical="center"/>
    </xf>
    <xf numFmtId="179" fontId="7" fillId="6" borderId="0" xfId="0" applyNumberFormat="1" applyFont="1" applyFill="1" applyAlignment="1">
      <alignment horizontal="center" vertical="center"/>
    </xf>
    <xf numFmtId="182" fontId="7" fillId="6" borderId="0" xfId="0" applyNumberFormat="1" applyFont="1" applyFill="1" applyAlignment="1">
      <alignment horizontal="center" vertical="center"/>
    </xf>
    <xf numFmtId="178" fontId="7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Continuous" vertical="center"/>
    </xf>
    <xf numFmtId="2" fontId="7" fillId="0" borderId="0" xfId="0" applyNumberFormat="1" applyFont="1" applyAlignment="1">
      <alignment horizontal="center" vertical="center"/>
    </xf>
    <xf numFmtId="171" fontId="7" fillId="0" borderId="0" xfId="0" applyNumberFormat="1" applyFont="1" applyAlignment="1">
      <alignment horizontal="center" vertical="center"/>
    </xf>
    <xf numFmtId="169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165" fontId="7" fillId="6" borderId="0" xfId="0" applyNumberFormat="1" applyFont="1" applyFill="1" applyAlignment="1">
      <alignment horizontal="center" vertical="center"/>
    </xf>
    <xf numFmtId="165" fontId="7" fillId="2" borderId="0" xfId="0" applyNumberFormat="1" applyFont="1" applyFill="1" applyAlignment="1">
      <alignment horizontal="center" vertical="center"/>
    </xf>
    <xf numFmtId="186" fontId="7" fillId="2" borderId="0" xfId="0" applyNumberFormat="1" applyFont="1" applyFill="1" applyAlignment="1">
      <alignment horizontal="center" vertical="center"/>
    </xf>
    <xf numFmtId="187" fontId="7" fillId="2" borderId="0" xfId="0" applyNumberFormat="1" applyFont="1" applyFill="1" applyAlignment="1">
      <alignment horizontal="center" vertical="center"/>
    </xf>
    <xf numFmtId="188" fontId="7" fillId="2" borderId="0" xfId="0" applyNumberFormat="1" applyFont="1" applyFill="1" applyAlignment="1">
      <alignment horizontal="center" vertical="center"/>
    </xf>
    <xf numFmtId="166" fontId="7" fillId="6" borderId="0" xfId="0" applyNumberFormat="1" applyFont="1" applyFill="1" applyAlignment="1">
      <alignment horizontal="center" vertical="center"/>
    </xf>
    <xf numFmtId="169" fontId="7" fillId="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2" fontId="7" fillId="6" borderId="0" xfId="0" applyNumberFormat="1" applyFont="1" applyFill="1" applyAlignment="1">
      <alignment horizontal="center" vertical="center"/>
    </xf>
    <xf numFmtId="168" fontId="7" fillId="6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189" fontId="7" fillId="2" borderId="0" xfId="0" applyNumberFormat="1" applyFont="1" applyFill="1" applyAlignment="1">
      <alignment horizont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right" vertical="center"/>
    </xf>
    <xf numFmtId="0" fontId="7" fillId="0" borderId="0" xfId="0" applyFont="1" applyAlignment="1">
      <alignment horizontal="right"/>
    </xf>
    <xf numFmtId="190" fontId="7" fillId="2" borderId="0" xfId="0" applyNumberFormat="1" applyFont="1" applyFill="1" applyAlignment="1">
      <alignment horizontal="center" vertical="center"/>
    </xf>
    <xf numFmtId="180" fontId="7" fillId="6" borderId="0" xfId="0" applyNumberFormat="1" applyFont="1" applyFill="1" applyAlignment="1">
      <alignment horizontal="center" vertical="center"/>
    </xf>
    <xf numFmtId="0" fontId="17" fillId="0" borderId="0" xfId="0" applyFont="1" applyAlignment="1">
      <alignment vertical="center"/>
    </xf>
    <xf numFmtId="0" fontId="0" fillId="0" borderId="0" xfId="0" applyAlignment="1">
      <alignment horizontal="left"/>
    </xf>
    <xf numFmtId="0" fontId="8" fillId="0" borderId="0" xfId="7" applyAlignment="1">
      <alignment horizontal="center" vertical="center"/>
    </xf>
    <xf numFmtId="0" fontId="8" fillId="0" borderId="0" xfId="7"/>
    <xf numFmtId="0" fontId="21" fillId="0" borderId="0" xfId="12" applyFont="1"/>
    <xf numFmtId="0" fontId="19" fillId="0" borderId="0" xfId="12"/>
    <xf numFmtId="0" fontId="26" fillId="0" borderId="0" xfId="7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191" fontId="7" fillId="2" borderId="0" xfId="0" applyNumberFormat="1" applyFont="1" applyFill="1" applyAlignment="1">
      <alignment horizontal="center" vertical="center"/>
    </xf>
    <xf numFmtId="184" fontId="7" fillId="0" borderId="0" xfId="0" applyNumberFormat="1" applyFont="1"/>
    <xf numFmtId="165" fontId="8" fillId="7" borderId="1" xfId="7" applyNumberFormat="1" applyFill="1" applyBorder="1" applyAlignment="1">
      <alignment horizontal="center" vertical="center"/>
    </xf>
    <xf numFmtId="176" fontId="8" fillId="7" borderId="1" xfId="7" applyNumberFormat="1" applyFill="1" applyBorder="1" applyAlignment="1">
      <alignment horizontal="center" vertical="center"/>
    </xf>
    <xf numFmtId="0" fontId="27" fillId="7" borderId="1" xfId="8" applyFont="1" applyFill="1" applyBorder="1" applyAlignment="1" applyProtection="1">
      <alignment horizontal="center" vertical="center"/>
    </xf>
    <xf numFmtId="0" fontId="27" fillId="7" borderId="1" xfId="9" applyFont="1" applyFill="1" applyBorder="1" applyAlignment="1" applyProtection="1">
      <alignment horizontal="center" vertical="center"/>
    </xf>
    <xf numFmtId="0" fontId="27" fillId="7" borderId="1" xfId="10" applyFont="1" applyFill="1" applyBorder="1" applyAlignment="1" applyProtection="1">
      <alignment horizontal="center" vertical="center"/>
    </xf>
    <xf numFmtId="0" fontId="6" fillId="7" borderId="1" xfId="11" applyFont="1" applyFill="1" applyBorder="1">
      <alignment horizontal="center" vertical="center"/>
    </xf>
    <xf numFmtId="0" fontId="0" fillId="0" borderId="9" xfId="0" applyBorder="1"/>
    <xf numFmtId="0" fontId="16" fillId="0" borderId="0" xfId="0" applyFont="1"/>
    <xf numFmtId="0" fontId="32" fillId="0" borderId="17" xfId="0" applyFont="1" applyBorder="1" applyAlignment="1">
      <alignment horizontal="left" vertical="center"/>
    </xf>
    <xf numFmtId="0" fontId="32" fillId="0" borderId="11" xfId="0" applyFont="1" applyBorder="1" applyAlignment="1">
      <alignment horizontal="left" vertical="center"/>
    </xf>
    <xf numFmtId="0" fontId="32" fillId="0" borderId="13" xfId="0" applyFont="1" applyBorder="1" applyAlignment="1">
      <alignment horizontal="center" vertical="center"/>
    </xf>
    <xf numFmtId="0" fontId="31" fillId="0" borderId="3" xfId="0" applyFont="1" applyBorder="1"/>
    <xf numFmtId="171" fontId="33" fillId="15" borderId="14" xfId="3" applyNumberFormat="1" applyFont="1" applyFill="1" applyBorder="1">
      <alignment horizontal="center" vertical="center"/>
    </xf>
    <xf numFmtId="167" fontId="32" fillId="14" borderId="1" xfId="3" applyNumberFormat="1" applyFont="1" applyFill="1" applyBorder="1" applyProtection="1">
      <alignment horizontal="center" vertical="center"/>
      <protection locked="0"/>
    </xf>
    <xf numFmtId="0" fontId="32" fillId="0" borderId="5" xfId="0" applyFont="1" applyBorder="1" applyAlignment="1">
      <alignment horizontal="left" vertical="center"/>
    </xf>
    <xf numFmtId="0" fontId="32" fillId="0" borderId="12" xfId="0" applyFont="1" applyBorder="1" applyAlignment="1">
      <alignment horizontal="left" vertical="center"/>
    </xf>
    <xf numFmtId="181" fontId="31" fillId="7" borderId="17" xfId="0" applyNumberFormat="1" applyFont="1" applyFill="1" applyBorder="1" applyAlignment="1">
      <alignment horizontal="left"/>
    </xf>
    <xf numFmtId="0" fontId="31" fillId="7" borderId="9" xfId="0" applyFont="1" applyFill="1" applyBorder="1"/>
    <xf numFmtId="180" fontId="31" fillId="7" borderId="5" xfId="0" applyNumberFormat="1" applyFont="1" applyFill="1" applyBorder="1"/>
    <xf numFmtId="0" fontId="31" fillId="7" borderId="0" xfId="0" applyFont="1" applyFill="1"/>
    <xf numFmtId="0" fontId="31" fillId="7" borderId="6" xfId="0" applyFont="1" applyFill="1" applyBorder="1" applyAlignment="1">
      <alignment horizontal="center" vertical="center"/>
    </xf>
    <xf numFmtId="179" fontId="31" fillId="7" borderId="11" xfId="0" applyNumberFormat="1" applyFont="1" applyFill="1" applyBorder="1"/>
    <xf numFmtId="0" fontId="31" fillId="7" borderId="12" xfId="0" applyFont="1" applyFill="1" applyBorder="1"/>
    <xf numFmtId="0" fontId="31" fillId="7" borderId="13" xfId="0" applyFont="1" applyFill="1" applyBorder="1" applyAlignment="1">
      <alignment horizontal="center" vertical="center"/>
    </xf>
    <xf numFmtId="0" fontId="31" fillId="7" borderId="18" xfId="0" applyFont="1" applyFill="1" applyBorder="1" applyAlignment="1">
      <alignment horizontal="center" vertical="center"/>
    </xf>
    <xf numFmtId="178" fontId="35" fillId="7" borderId="14" xfId="1" applyNumberFormat="1" applyFont="1" applyFill="1" applyBorder="1" applyProtection="1">
      <alignment horizontal="center" vertical="center"/>
    </xf>
    <xf numFmtId="168" fontId="35" fillId="7" borderId="15" xfId="0" applyNumberFormat="1" applyFont="1" applyFill="1" applyBorder="1" applyAlignment="1">
      <alignment horizontal="center" vertical="center"/>
    </xf>
    <xf numFmtId="170" fontId="35" fillId="7" borderId="15" xfId="0" applyNumberFormat="1" applyFont="1" applyFill="1" applyBorder="1" applyAlignment="1">
      <alignment horizontal="center" vertical="center"/>
    </xf>
    <xf numFmtId="171" fontId="35" fillId="7" borderId="15" xfId="0" applyNumberFormat="1" applyFont="1" applyFill="1" applyBorder="1" applyAlignment="1">
      <alignment horizontal="center" vertical="center"/>
    </xf>
    <xf numFmtId="171" fontId="35" fillId="7" borderId="16" xfId="0" applyNumberFormat="1" applyFont="1" applyFill="1" applyBorder="1" applyAlignment="1">
      <alignment horizontal="center" vertical="center"/>
    </xf>
    <xf numFmtId="0" fontId="31" fillId="0" borderId="0" xfId="0" applyFont="1"/>
    <xf numFmtId="0" fontId="32" fillId="0" borderId="12" xfId="0" applyFont="1" applyBorder="1" applyAlignment="1">
      <alignment horizontal="center" vertical="center"/>
    </xf>
    <xf numFmtId="0" fontId="31" fillId="0" borderId="5" xfId="0" applyFont="1" applyBorder="1"/>
    <xf numFmtId="0" fontId="35" fillId="0" borderId="5" xfId="0" applyFont="1" applyBorder="1" applyAlignment="1">
      <alignment horizontal="right" vertical="center"/>
    </xf>
    <xf numFmtId="0" fontId="35" fillId="0" borderId="6" xfId="0" applyFont="1" applyBorder="1" applyAlignment="1">
      <alignment horizontal="right" vertical="center"/>
    </xf>
    <xf numFmtId="0" fontId="35" fillId="0" borderId="0" xfId="0" applyFont="1" applyAlignment="1">
      <alignment horizontal="right" vertical="center"/>
    </xf>
    <xf numFmtId="2" fontId="35" fillId="7" borderId="1" xfId="1" applyNumberFormat="1" applyFont="1" applyFill="1" applyBorder="1" applyProtection="1">
      <alignment horizontal="center" vertical="center"/>
    </xf>
    <xf numFmtId="174" fontId="35" fillId="7" borderId="1" xfId="1" applyNumberFormat="1" applyFont="1" applyFill="1" applyBorder="1" applyProtection="1">
      <alignment horizontal="center" vertical="center"/>
    </xf>
    <xf numFmtId="0" fontId="31" fillId="0" borderId="0" xfId="0" applyFont="1" applyAlignment="1">
      <alignment horizontal="right"/>
    </xf>
    <xf numFmtId="0" fontId="39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4" fillId="0" borderId="0" xfId="0" applyFont="1"/>
    <xf numFmtId="0" fontId="35" fillId="16" borderId="3" xfId="0" applyFont="1" applyFill="1" applyBorder="1" applyAlignment="1">
      <alignment horizontal="center" vertical="center"/>
    </xf>
    <xf numFmtId="0" fontId="35" fillId="16" borderId="4" xfId="0" applyFont="1" applyFill="1" applyBorder="1" applyAlignment="1">
      <alignment horizontal="center" vertical="center"/>
    </xf>
    <xf numFmtId="167" fontId="35" fillId="7" borderId="2" xfId="3" applyNumberFormat="1" applyFont="1" applyFill="1" applyBorder="1">
      <alignment horizontal="center" vertical="center"/>
    </xf>
    <xf numFmtId="167" fontId="35" fillId="7" borderId="3" xfId="3" applyNumberFormat="1" applyFont="1" applyFill="1" applyBorder="1">
      <alignment horizontal="center" vertical="center"/>
    </xf>
    <xf numFmtId="178" fontId="35" fillId="7" borderId="3" xfId="3" applyNumberFormat="1" applyFont="1" applyFill="1" applyBorder="1">
      <alignment horizontal="center" vertical="center"/>
    </xf>
    <xf numFmtId="2" fontId="35" fillId="7" borderId="4" xfId="3" applyNumberFormat="1" applyFont="1" applyFill="1" applyBorder="1">
      <alignment horizontal="center" vertical="center"/>
    </xf>
    <xf numFmtId="0" fontId="31" fillId="0" borderId="9" xfId="0" applyFont="1" applyBorder="1"/>
    <xf numFmtId="170" fontId="39" fillId="0" borderId="0" xfId="0" applyNumberFormat="1" applyFont="1" applyAlignment="1">
      <alignment horizontal="center" vertical="center"/>
    </xf>
    <xf numFmtId="176" fontId="35" fillId="7" borderId="15" xfId="3" applyNumberFormat="1" applyFont="1" applyFill="1" applyBorder="1">
      <alignment horizontal="center" vertical="center"/>
    </xf>
    <xf numFmtId="165" fontId="35" fillId="7" borderId="15" xfId="3" applyNumberFormat="1" applyFont="1" applyFill="1" applyBorder="1">
      <alignment horizontal="center" vertical="center"/>
    </xf>
    <xf numFmtId="0" fontId="35" fillId="0" borderId="0" xfId="0" applyFont="1"/>
    <xf numFmtId="165" fontId="35" fillId="7" borderId="16" xfId="3" applyNumberFormat="1" applyFont="1" applyFill="1" applyBorder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6" xfId="0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192" fontId="35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67" fontId="35" fillId="0" borderId="0" xfId="0" applyNumberFormat="1" applyFont="1" applyAlignment="1">
      <alignment horizontal="center" vertical="center"/>
    </xf>
    <xf numFmtId="0" fontId="31" fillId="0" borderId="6" xfId="0" applyFont="1" applyBorder="1"/>
    <xf numFmtId="0" fontId="31" fillId="7" borderId="2" xfId="0" applyFont="1" applyFill="1" applyBorder="1" applyAlignment="1">
      <alignment horizontal="right" vertical="center"/>
    </xf>
    <xf numFmtId="170" fontId="35" fillId="7" borderId="3" xfId="6" applyNumberFormat="1" applyFont="1" applyFill="1" applyBorder="1" applyProtection="1">
      <alignment horizontal="center" vertical="center"/>
    </xf>
    <xf numFmtId="181" fontId="35" fillId="7" borderId="4" xfId="1" applyNumberFormat="1" applyFont="1" applyFill="1" applyBorder="1" applyProtection="1">
      <alignment horizontal="center" vertical="center"/>
    </xf>
    <xf numFmtId="180" fontId="35" fillId="7" borderId="4" xfId="1" applyNumberFormat="1" applyFont="1" applyFill="1" applyBorder="1" applyProtection="1">
      <alignment horizontal="center" vertical="center"/>
    </xf>
    <xf numFmtId="179" fontId="35" fillId="7" borderId="4" xfId="1" applyNumberFormat="1" applyFont="1" applyFill="1" applyBorder="1" applyProtection="1">
      <alignment horizontal="center" vertical="center"/>
    </xf>
    <xf numFmtId="0" fontId="34" fillId="0" borderId="18" xfId="0" applyFont="1" applyBorder="1"/>
    <xf numFmtId="0" fontId="31" fillId="0" borderId="0" xfId="0" applyFont="1" applyAlignment="1">
      <alignment horizontal="right" vertical="center"/>
    </xf>
    <xf numFmtId="0" fontId="31" fillId="0" borderId="15" xfId="0" applyFont="1" applyBorder="1" applyAlignment="1">
      <alignment horizontal="right" vertical="center"/>
    </xf>
    <xf numFmtId="185" fontId="31" fillId="2" borderId="1" xfId="1" applyNumberFormat="1" applyFont="1" applyFill="1" applyBorder="1" applyProtection="1">
      <alignment horizontal="center" vertical="center"/>
    </xf>
    <xf numFmtId="0" fontId="31" fillId="0" borderId="11" xfId="0" applyFont="1" applyBorder="1"/>
    <xf numFmtId="0" fontId="31" fillId="0" borderId="12" xfId="0" applyFont="1" applyBorder="1"/>
    <xf numFmtId="0" fontId="31" fillId="0" borderId="13" xfId="0" applyFont="1" applyBorder="1"/>
    <xf numFmtId="0" fontId="32" fillId="0" borderId="0" xfId="0" applyFont="1" applyAlignment="1">
      <alignment horizontal="center" vertical="center"/>
    </xf>
    <xf numFmtId="0" fontId="31" fillId="0" borderId="5" xfId="0" applyFont="1" applyBorder="1" applyAlignment="1">
      <alignment horizontal="right" vertical="center"/>
    </xf>
    <xf numFmtId="169" fontId="31" fillId="7" borderId="14" xfId="1" applyNumberFormat="1" applyFont="1" applyFill="1" applyBorder="1" applyProtection="1">
      <alignment horizontal="center" vertical="center"/>
    </xf>
    <xf numFmtId="0" fontId="31" fillId="7" borderId="15" xfId="1" applyNumberFormat="1" applyFont="1" applyFill="1" applyBorder="1" applyProtection="1">
      <alignment horizontal="center" vertical="center"/>
    </xf>
    <xf numFmtId="0" fontId="31" fillId="0" borderId="6" xfId="0" applyFont="1" applyBorder="1" applyAlignment="1">
      <alignment horizontal="right" vertical="center"/>
    </xf>
    <xf numFmtId="178" fontId="31" fillId="7" borderId="14" xfId="1" applyNumberFormat="1" applyFont="1" applyFill="1" applyBorder="1" applyProtection="1">
      <alignment horizontal="center" vertical="center"/>
    </xf>
    <xf numFmtId="171" fontId="31" fillId="7" borderId="15" xfId="1" applyNumberFormat="1" applyFont="1" applyFill="1" applyBorder="1" applyProtection="1">
      <alignment horizontal="center" vertical="center"/>
    </xf>
    <xf numFmtId="0" fontId="35" fillId="7" borderId="15" xfId="0" applyFont="1" applyFill="1" applyBorder="1" applyAlignment="1">
      <alignment horizontal="center" vertical="center"/>
    </xf>
    <xf numFmtId="169" fontId="31" fillId="7" borderId="15" xfId="1" applyNumberFormat="1" applyFont="1" applyFill="1" applyBorder="1" applyProtection="1">
      <alignment horizontal="center" vertical="center"/>
    </xf>
    <xf numFmtId="171" fontId="31" fillId="7" borderId="16" xfId="1" applyNumberFormat="1" applyFont="1" applyFill="1" applyBorder="1" applyProtection="1">
      <alignment horizontal="center" vertical="center"/>
    </xf>
    <xf numFmtId="175" fontId="31" fillId="7" borderId="14" xfId="1" applyNumberFormat="1" applyFont="1" applyFill="1" applyBorder="1" applyProtection="1">
      <alignment horizontal="center" vertical="center"/>
    </xf>
    <xf numFmtId="175" fontId="31" fillId="7" borderId="15" xfId="1" applyNumberFormat="1" applyFont="1" applyFill="1" applyBorder="1" applyProtection="1">
      <alignment horizontal="center" vertical="center"/>
    </xf>
    <xf numFmtId="0" fontId="35" fillId="0" borderId="6" xfId="0" applyFont="1" applyBorder="1" applyAlignment="1">
      <alignment vertical="center"/>
    </xf>
    <xf numFmtId="178" fontId="31" fillId="7" borderId="15" xfId="1" applyNumberFormat="1" applyFont="1" applyFill="1" applyBorder="1" applyProtection="1">
      <alignment horizontal="center" vertical="center"/>
    </xf>
    <xf numFmtId="167" fontId="31" fillId="7" borderId="15" xfId="1" applyNumberFormat="1" applyFont="1" applyFill="1" applyBorder="1" applyProtection="1">
      <alignment horizontal="center" vertical="center"/>
    </xf>
    <xf numFmtId="178" fontId="31" fillId="7" borderId="16" xfId="0" applyNumberFormat="1" applyFont="1" applyFill="1" applyBorder="1" applyAlignment="1">
      <alignment horizontal="center" vertical="center"/>
    </xf>
    <xf numFmtId="0" fontId="31" fillId="0" borderId="5" xfId="0" applyFont="1" applyBorder="1" applyAlignment="1">
      <alignment horizontal="right"/>
    </xf>
    <xf numFmtId="167" fontId="31" fillId="7" borderId="16" xfId="1" applyNumberFormat="1" applyFont="1" applyFill="1" applyBorder="1" applyProtection="1">
      <alignment horizontal="center" vertical="center"/>
    </xf>
    <xf numFmtId="174" fontId="31" fillId="7" borderId="14" xfId="1" applyNumberFormat="1" applyFont="1" applyFill="1" applyBorder="1" applyProtection="1">
      <alignment horizontal="center" vertical="center"/>
    </xf>
    <xf numFmtId="174" fontId="31" fillId="7" borderId="15" xfId="1" applyNumberFormat="1" applyFont="1" applyFill="1" applyBorder="1" applyProtection="1">
      <alignment horizontal="center" vertical="center"/>
    </xf>
    <xf numFmtId="0" fontId="31" fillId="7" borderId="16" xfId="1" applyNumberFormat="1" applyFont="1" applyFill="1" applyBorder="1" applyProtection="1">
      <alignment horizontal="center" vertical="center"/>
    </xf>
    <xf numFmtId="168" fontId="35" fillId="7" borderId="14" xfId="0" applyNumberFormat="1" applyFont="1" applyFill="1" applyBorder="1" applyAlignment="1">
      <alignment horizontal="center" vertical="center"/>
    </xf>
    <xf numFmtId="164" fontId="35" fillId="7" borderId="15" xfId="0" applyNumberFormat="1" applyFont="1" applyFill="1" applyBorder="1" applyAlignment="1">
      <alignment horizontal="center" vertical="center"/>
    </xf>
    <xf numFmtId="167" fontId="35" fillId="7" borderId="15" xfId="0" applyNumberFormat="1" applyFont="1" applyFill="1" applyBorder="1" applyAlignment="1">
      <alignment horizontal="center" vertical="center"/>
    </xf>
    <xf numFmtId="172" fontId="35" fillId="7" borderId="15" xfId="0" applyNumberFormat="1" applyFont="1" applyFill="1" applyBorder="1" applyAlignment="1">
      <alignment horizontal="center" vertical="center"/>
    </xf>
    <xf numFmtId="170" fontId="35" fillId="7" borderId="16" xfId="0" applyNumberFormat="1" applyFont="1" applyFill="1" applyBorder="1" applyAlignment="1">
      <alignment horizontal="center" vertical="center"/>
    </xf>
    <xf numFmtId="0" fontId="31" fillId="0" borderId="11" xfId="0" applyFont="1" applyBorder="1" applyAlignment="1">
      <alignment horizontal="right" vertical="center"/>
    </xf>
    <xf numFmtId="0" fontId="31" fillId="0" borderId="12" xfId="0" applyFont="1" applyBorder="1" applyAlignment="1">
      <alignment horizontal="left" vertical="center"/>
    </xf>
    <xf numFmtId="2" fontId="35" fillId="7" borderId="15" xfId="0" applyNumberFormat="1" applyFont="1" applyFill="1" applyBorder="1" applyAlignment="1">
      <alignment horizontal="center" vertical="center"/>
    </xf>
    <xf numFmtId="49" fontId="31" fillId="0" borderId="5" xfId="0" applyNumberFormat="1" applyFont="1" applyBorder="1"/>
    <xf numFmtId="49" fontId="31" fillId="0" borderId="0" xfId="0" applyNumberFormat="1" applyFont="1"/>
    <xf numFmtId="49" fontId="31" fillId="0" borderId="6" xfId="0" applyNumberFormat="1" applyFont="1" applyBorder="1"/>
    <xf numFmtId="49" fontId="32" fillId="0" borderId="5" xfId="0" applyNumberFormat="1" applyFont="1" applyBorder="1" applyAlignment="1">
      <alignment horizontal="left" vertical="center"/>
    </xf>
    <xf numFmtId="49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/>
    </xf>
    <xf numFmtId="181" fontId="31" fillId="0" borderId="0" xfId="0" applyNumberFormat="1" applyFont="1"/>
    <xf numFmtId="180" fontId="31" fillId="0" borderId="0" xfId="0" applyNumberFormat="1" applyFont="1"/>
    <xf numFmtId="179" fontId="31" fillId="0" borderId="0" xfId="0" applyNumberFormat="1" applyFont="1"/>
    <xf numFmtId="169" fontId="31" fillId="14" borderId="14" xfId="1" applyNumberFormat="1" applyFont="1" applyFill="1" applyBorder="1" applyProtection="1">
      <alignment horizontal="center" vertical="center"/>
      <protection locked="0"/>
    </xf>
    <xf numFmtId="0" fontId="31" fillId="14" borderId="16" xfId="1" applyNumberFormat="1" applyFont="1" applyFill="1" applyBorder="1" applyProtection="1">
      <alignment horizontal="center" vertical="center"/>
      <protection locked="0"/>
    </xf>
    <xf numFmtId="175" fontId="31" fillId="14" borderId="14" xfId="1" applyNumberFormat="1" applyFont="1" applyFill="1" applyBorder="1" applyProtection="1">
      <alignment horizontal="center" vertical="center"/>
      <protection locked="0"/>
    </xf>
    <xf numFmtId="175" fontId="31" fillId="14" borderId="15" xfId="1" applyNumberFormat="1" applyFont="1" applyFill="1" applyBorder="1" applyProtection="1">
      <alignment horizontal="center" vertical="center"/>
      <protection locked="0"/>
    </xf>
    <xf numFmtId="174" fontId="31" fillId="14" borderId="16" xfId="1" applyNumberFormat="1" applyFont="1" applyFill="1" applyBorder="1" applyProtection="1">
      <alignment horizontal="center" vertical="center"/>
      <protection locked="0"/>
    </xf>
    <xf numFmtId="2" fontId="31" fillId="14" borderId="16" xfId="1" applyNumberFormat="1" applyFont="1" applyFill="1" applyBorder="1" applyProtection="1">
      <alignment horizontal="center" vertical="center"/>
      <protection locked="0"/>
    </xf>
    <xf numFmtId="2" fontId="31" fillId="14" borderId="14" xfId="1" applyNumberFormat="1" applyFont="1" applyFill="1" applyBorder="1" applyProtection="1">
      <alignment horizontal="center" vertical="center"/>
      <protection locked="0"/>
    </xf>
    <xf numFmtId="2" fontId="31" fillId="14" borderId="15" xfId="1" applyNumberFormat="1" applyFont="1" applyFill="1" applyBorder="1" applyProtection="1">
      <alignment horizontal="center" vertical="center"/>
      <protection locked="0"/>
    </xf>
    <xf numFmtId="167" fontId="31" fillId="14" borderId="15" xfId="1" applyNumberFormat="1" applyFont="1" applyFill="1" applyBorder="1" applyProtection="1">
      <alignment horizontal="center" vertical="center"/>
      <protection locked="0"/>
    </xf>
    <xf numFmtId="0" fontId="31" fillId="14" borderId="14" xfId="1" applyNumberFormat="1" applyFont="1" applyFill="1" applyBorder="1" applyProtection="1">
      <alignment horizontal="center" vertical="center"/>
      <protection locked="0"/>
    </xf>
    <xf numFmtId="173" fontId="31" fillId="14" borderId="16" xfId="1" applyNumberFormat="1" applyFont="1" applyFill="1" applyBorder="1" applyProtection="1">
      <alignment horizontal="center" vertical="center"/>
      <protection locked="0"/>
    </xf>
    <xf numFmtId="0" fontId="46" fillId="0" borderId="0" xfId="0" applyFont="1" applyAlignment="1">
      <alignment horizontal="left" vertical="center"/>
    </xf>
    <xf numFmtId="0" fontId="47" fillId="0" borderId="0" xfId="0" applyFont="1" applyAlignment="1">
      <alignment horizontal="left" vertical="center"/>
    </xf>
    <xf numFmtId="0" fontId="48" fillId="0" borderId="5" xfId="0" applyFont="1" applyBorder="1" applyAlignment="1">
      <alignment horizontal="right" vertical="center"/>
    </xf>
    <xf numFmtId="0" fontId="48" fillId="0" borderId="0" xfId="0" applyFont="1" applyAlignment="1">
      <alignment horizontal="right" vertical="center"/>
    </xf>
    <xf numFmtId="192" fontId="31" fillId="14" borderId="2" xfId="1" applyNumberFormat="1" applyFont="1" applyFill="1" applyBorder="1" applyProtection="1">
      <alignment horizontal="center" vertical="center"/>
      <protection locked="0"/>
    </xf>
    <xf numFmtId="177" fontId="31" fillId="14" borderId="3" xfId="1" applyNumberFormat="1" applyFont="1" applyFill="1" applyBorder="1" applyProtection="1">
      <alignment horizontal="center" vertical="center"/>
      <protection locked="0"/>
    </xf>
    <xf numFmtId="0" fontId="31" fillId="14" borderId="3" xfId="1" applyNumberFormat="1" applyFont="1" applyFill="1" applyBorder="1" applyProtection="1">
      <alignment horizontal="center" vertical="center"/>
      <protection locked="0"/>
    </xf>
    <xf numFmtId="182" fontId="31" fillId="14" borderId="3" xfId="1" applyNumberFormat="1" applyFont="1" applyFill="1" applyBorder="1" applyProtection="1">
      <alignment horizontal="center" vertical="center"/>
      <protection locked="0"/>
    </xf>
    <xf numFmtId="182" fontId="31" fillId="14" borderId="4" xfId="1" applyNumberFormat="1" applyFont="1" applyFill="1" applyBorder="1" applyProtection="1">
      <alignment horizontal="center" vertical="center"/>
      <protection locked="0"/>
    </xf>
    <xf numFmtId="2" fontId="31" fillId="14" borderId="3" xfId="1" applyNumberFormat="1" applyFont="1" applyFill="1" applyBorder="1" applyProtection="1">
      <alignment horizontal="center" vertical="center"/>
      <protection locked="0"/>
    </xf>
    <xf numFmtId="2" fontId="31" fillId="14" borderId="4" xfId="1" applyNumberFormat="1" applyFont="1" applyFill="1" applyBorder="1" applyProtection="1">
      <alignment horizontal="center" vertical="center"/>
      <protection locked="0"/>
    </xf>
    <xf numFmtId="0" fontId="50" fillId="0" borderId="5" xfId="0" applyFont="1" applyBorder="1" applyAlignment="1">
      <alignment horizontal="right" vertical="center"/>
    </xf>
    <xf numFmtId="0" fontId="35" fillId="0" borderId="15" xfId="0" applyFont="1" applyBorder="1" applyAlignment="1">
      <alignment horizontal="right" vertical="center"/>
    </xf>
    <xf numFmtId="0" fontId="35" fillId="16" borderId="2" xfId="0" applyFont="1" applyFill="1" applyBorder="1" applyAlignment="1">
      <alignment horizontal="center" vertical="center"/>
    </xf>
    <xf numFmtId="0" fontId="32" fillId="0" borderId="6" xfId="0" applyFont="1" applyBorder="1" applyAlignment="1">
      <alignment vertical="center"/>
    </xf>
    <xf numFmtId="0" fontId="35" fillId="0" borderId="6" xfId="0" applyFont="1" applyBorder="1"/>
    <xf numFmtId="0" fontId="35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32" fillId="0" borderId="6" xfId="0" applyFont="1" applyBorder="1" applyAlignment="1">
      <alignment horizontal="left" vertical="center"/>
    </xf>
    <xf numFmtId="0" fontId="32" fillId="0" borderId="0" xfId="0" applyFont="1" applyAlignment="1">
      <alignment horizontal="left"/>
    </xf>
    <xf numFmtId="0" fontId="32" fillId="0" borderId="6" xfId="0" applyFont="1" applyBorder="1" applyAlignment="1">
      <alignment horizontal="left"/>
    </xf>
    <xf numFmtId="0" fontId="35" fillId="0" borderId="0" xfId="0" applyFont="1" applyAlignment="1">
      <alignment horizontal="left" vertical="center"/>
    </xf>
    <xf numFmtId="0" fontId="35" fillId="0" borderId="6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1" fillId="0" borderId="6" xfId="0" applyFont="1" applyBorder="1" applyAlignment="1">
      <alignment horizontal="left" vertical="center"/>
    </xf>
    <xf numFmtId="0" fontId="31" fillId="0" borderId="6" xfId="0" applyFont="1" applyBorder="1" applyAlignment="1">
      <alignment horizontal="left"/>
    </xf>
    <xf numFmtId="0" fontId="51" fillId="0" borderId="0" xfId="0" applyFont="1"/>
    <xf numFmtId="0" fontId="46" fillId="0" borderId="5" xfId="0" applyFont="1" applyBorder="1" applyAlignment="1">
      <alignment horizontal="left" vertical="center"/>
    </xf>
    <xf numFmtId="0" fontId="46" fillId="0" borderId="11" xfId="0" applyFont="1" applyBorder="1" applyAlignment="1">
      <alignment horizontal="left" vertical="center"/>
    </xf>
    <xf numFmtId="0" fontId="35" fillId="0" borderId="0" xfId="7" applyFont="1"/>
    <xf numFmtId="0" fontId="54" fillId="0" borderId="0" xfId="12" applyFont="1"/>
    <xf numFmtId="0" fontId="35" fillId="7" borderId="1" xfId="8" applyNumberFormat="1" applyFont="1" applyFill="1" applyBorder="1" applyAlignment="1" applyProtection="1">
      <alignment horizontal="center" vertical="center"/>
    </xf>
    <xf numFmtId="0" fontId="35" fillId="7" borderId="1" xfId="9" applyNumberFormat="1" applyFont="1" applyFill="1" applyBorder="1" applyAlignment="1" applyProtection="1">
      <alignment horizontal="center" vertical="center"/>
    </xf>
    <xf numFmtId="0" fontId="35" fillId="0" borderId="0" xfId="7" applyFont="1" applyAlignment="1">
      <alignment horizontal="center" vertical="center"/>
    </xf>
    <xf numFmtId="0" fontId="56" fillId="0" borderId="0" xfId="7" applyFont="1" applyAlignment="1">
      <alignment vertical="center"/>
    </xf>
    <xf numFmtId="0" fontId="56" fillId="0" borderId="0" xfId="7" applyFont="1" applyAlignment="1">
      <alignment horizontal="center" vertical="center"/>
    </xf>
    <xf numFmtId="0" fontId="35" fillId="0" borderId="0" xfId="7" applyFont="1" applyAlignment="1">
      <alignment horizontal="left" vertical="center"/>
    </xf>
    <xf numFmtId="0" fontId="34" fillId="0" borderId="0" xfId="12" applyFont="1"/>
    <xf numFmtId="0" fontId="32" fillId="7" borderId="1" xfId="11" applyFont="1" applyFill="1" applyBorder="1">
      <alignment horizontal="center" vertical="center"/>
    </xf>
    <xf numFmtId="0" fontId="42" fillId="2" borderId="2" xfId="0" applyFont="1" applyFill="1" applyBorder="1" applyAlignment="1">
      <alignment horizontal="center" vertical="center"/>
    </xf>
    <xf numFmtId="0" fontId="42" fillId="2" borderId="3" xfId="0" applyFont="1" applyFill="1" applyBorder="1" applyAlignment="1">
      <alignment horizontal="center" vertical="center"/>
    </xf>
    <xf numFmtId="0" fontId="42" fillId="2" borderId="4" xfId="0" applyFont="1" applyFill="1" applyBorder="1" applyAlignment="1">
      <alignment horizontal="center" vertical="center"/>
    </xf>
    <xf numFmtId="0" fontId="36" fillId="0" borderId="17" xfId="0" applyFont="1" applyBorder="1" applyAlignment="1">
      <alignment horizontal="center"/>
    </xf>
    <xf numFmtId="0" fontId="36" fillId="0" borderId="9" xfId="0" applyFont="1" applyBorder="1" applyAlignment="1">
      <alignment horizontal="center"/>
    </xf>
    <xf numFmtId="0" fontId="36" fillId="0" borderId="18" xfId="0" applyFont="1" applyBorder="1" applyAlignment="1">
      <alignment horizontal="center"/>
    </xf>
    <xf numFmtId="0" fontId="32" fillId="0" borderId="5" xfId="0" applyFont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2" fillId="0" borderId="6" xfId="0" applyFont="1" applyBorder="1" applyAlignment="1">
      <alignment horizontal="left" vertical="center"/>
    </xf>
    <xf numFmtId="0" fontId="36" fillId="16" borderId="2" xfId="0" applyFont="1" applyFill="1" applyBorder="1" applyAlignment="1">
      <alignment horizontal="center" vertical="center"/>
    </xf>
    <xf numFmtId="0" fontId="36" fillId="16" borderId="3" xfId="0" applyFont="1" applyFill="1" applyBorder="1" applyAlignment="1">
      <alignment horizontal="center" vertical="center"/>
    </xf>
    <xf numFmtId="0" fontId="36" fillId="16" borderId="4" xfId="0" applyFont="1" applyFill="1" applyBorder="1" applyAlignment="1">
      <alignment horizontal="center" vertical="center"/>
    </xf>
    <xf numFmtId="0" fontId="42" fillId="16" borderId="2" xfId="0" applyFont="1" applyFill="1" applyBorder="1" applyAlignment="1">
      <alignment horizontal="center" vertical="center"/>
    </xf>
    <xf numFmtId="0" fontId="42" fillId="16" borderId="3" xfId="0" applyFont="1" applyFill="1" applyBorder="1" applyAlignment="1">
      <alignment horizontal="center" vertical="center"/>
    </xf>
    <xf numFmtId="0" fontId="42" fillId="16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right" vertical="center"/>
    </xf>
    <xf numFmtId="0" fontId="31" fillId="0" borderId="0" xfId="0" applyFont="1" applyAlignment="1">
      <alignment horizontal="right"/>
    </xf>
    <xf numFmtId="171" fontId="53" fillId="13" borderId="1" xfId="3" applyNumberFormat="1" applyFont="1" applyFill="1" applyBorder="1">
      <alignment horizontal="center" vertical="center"/>
    </xf>
    <xf numFmtId="0" fontId="35" fillId="7" borderId="1" xfId="3" applyNumberFormat="1" applyFont="1" applyFill="1" applyBorder="1">
      <alignment horizontal="center" vertical="center"/>
    </xf>
    <xf numFmtId="168" fontId="35" fillId="7" borderId="1" xfId="3" applyNumberFormat="1" applyFont="1" applyFill="1" applyBorder="1">
      <alignment horizontal="center" vertical="center"/>
    </xf>
    <xf numFmtId="171" fontId="35" fillId="7" borderId="1" xfId="3" applyNumberFormat="1" applyFont="1" applyFill="1" applyBorder="1">
      <alignment horizontal="center" vertical="center"/>
    </xf>
    <xf numFmtId="0" fontId="36" fillId="16" borderId="2" xfId="11" applyFont="1" applyFill="1" applyBorder="1">
      <alignment horizontal="center" vertical="center"/>
    </xf>
    <xf numFmtId="0" fontId="36" fillId="16" borderId="3" xfId="11" applyFont="1" applyFill="1" applyBorder="1">
      <alignment horizontal="center" vertical="center"/>
    </xf>
    <xf numFmtId="0" fontId="36" fillId="16" borderId="4" xfId="11" applyFont="1" applyFill="1" applyBorder="1">
      <alignment horizontal="center" vertical="center"/>
    </xf>
    <xf numFmtId="0" fontId="32" fillId="7" borderId="1" xfId="11" applyFont="1" applyFill="1" applyBorder="1">
      <alignment horizontal="center" vertical="center"/>
    </xf>
    <xf numFmtId="0" fontId="55" fillId="7" borderId="1" xfId="11" applyFont="1" applyFill="1" applyBorder="1" applyAlignment="1">
      <alignment horizontal="center" vertical="center" wrapText="1"/>
    </xf>
    <xf numFmtId="0" fontId="32" fillId="7" borderId="1" xfId="11" applyFont="1" applyFill="1" applyBorder="1" applyAlignment="1">
      <alignment horizontal="center" vertical="center" wrapText="1"/>
    </xf>
    <xf numFmtId="171" fontId="7" fillId="7" borderId="1" xfId="3" applyNumberFormat="1" applyFont="1" applyFill="1" applyBorder="1">
      <alignment horizontal="center" vertical="center"/>
    </xf>
    <xf numFmtId="0" fontId="7" fillId="7" borderId="1" xfId="3" applyNumberFormat="1" applyFont="1" applyFill="1" applyBorder="1">
      <alignment horizontal="center" vertical="center"/>
    </xf>
    <xf numFmtId="168" fontId="7" fillId="7" borderId="1" xfId="3" applyNumberFormat="1" applyFont="1" applyFill="1" applyBorder="1">
      <alignment horizontal="center" vertical="center"/>
    </xf>
    <xf numFmtId="171" fontId="30" fillId="13" borderId="1" xfId="3" applyNumberFormat="1" applyFont="1" applyFill="1" applyBorder="1">
      <alignment horizontal="center" vertical="center"/>
    </xf>
    <xf numFmtId="0" fontId="10" fillId="8" borderId="2" xfId="11" applyFont="1" applyFill="1" applyBorder="1">
      <alignment horizontal="center" vertical="center"/>
    </xf>
    <xf numFmtId="0" fontId="10" fillId="8" borderId="3" xfId="11" applyFont="1" applyFill="1" applyBorder="1">
      <alignment horizontal="center" vertical="center"/>
    </xf>
    <xf numFmtId="0" fontId="10" fillId="8" borderId="4" xfId="11" applyFont="1" applyFill="1" applyBorder="1">
      <alignment horizontal="center" vertical="center"/>
    </xf>
    <xf numFmtId="0" fontId="6" fillId="7" borderId="1" xfId="11" applyFont="1" applyFill="1" applyBorder="1">
      <alignment horizontal="center" vertical="center"/>
    </xf>
    <xf numFmtId="0" fontId="28" fillId="7" borderId="1" xfId="11" applyFont="1" applyFill="1" applyBorder="1" applyAlignment="1">
      <alignment horizontal="center" vertical="center" wrapText="1"/>
    </xf>
    <xf numFmtId="0" fontId="6" fillId="7" borderId="2" xfId="11" applyFont="1" applyFill="1" applyBorder="1">
      <alignment horizontal="center" vertical="center"/>
    </xf>
    <xf numFmtId="0" fontId="6" fillId="7" borderId="3" xfId="11" applyFont="1" applyFill="1" applyBorder="1">
      <alignment horizontal="center" vertical="center"/>
    </xf>
    <xf numFmtId="0" fontId="6" fillId="7" borderId="4" xfId="11" applyFont="1" applyFill="1" applyBorder="1">
      <alignment horizontal="center" vertical="center"/>
    </xf>
    <xf numFmtId="0" fontId="28" fillId="7" borderId="17" xfId="11" applyFont="1" applyFill="1" applyBorder="1" applyAlignment="1">
      <alignment horizontal="center" vertical="center" wrapText="1"/>
    </xf>
    <xf numFmtId="0" fontId="28" fillId="7" borderId="18" xfId="11" applyFont="1" applyFill="1" applyBorder="1" applyAlignment="1">
      <alignment horizontal="center" vertical="center" wrapText="1"/>
    </xf>
    <xf numFmtId="0" fontId="28" fillId="7" borderId="11" xfId="11" applyFont="1" applyFill="1" applyBorder="1" applyAlignment="1">
      <alignment horizontal="center" vertical="center" wrapText="1"/>
    </xf>
    <xf numFmtId="0" fontId="28" fillId="7" borderId="13" xfId="11" applyFont="1" applyFill="1" applyBorder="1" applyAlignment="1">
      <alignment horizontal="center" vertical="center" wrapText="1"/>
    </xf>
    <xf numFmtId="0" fontId="7" fillId="7" borderId="2" xfId="3" applyNumberFormat="1" applyFont="1" applyFill="1" applyBorder="1">
      <alignment horizontal="center" vertical="center"/>
    </xf>
    <xf numFmtId="0" fontId="7" fillId="7" borderId="4" xfId="3" applyNumberFormat="1" applyFont="1" applyFill="1" applyBorder="1">
      <alignment horizontal="center" vertical="center"/>
    </xf>
    <xf numFmtId="0" fontId="10" fillId="8" borderId="1" xfId="11" applyFont="1" applyFill="1" applyBorder="1">
      <alignment horizontal="center" vertical="center"/>
    </xf>
    <xf numFmtId="0" fontId="18" fillId="8" borderId="19" xfId="11" applyFont="1" applyFill="1">
      <alignment horizontal="center" vertical="center"/>
    </xf>
    <xf numFmtId="165" fontId="7" fillId="7" borderId="1" xfId="3" applyNumberFormat="1" applyFont="1" applyFill="1" applyBorder="1">
      <alignment horizontal="center" vertical="center"/>
    </xf>
    <xf numFmtId="0" fontId="24" fillId="7" borderId="1" xfId="7" applyFont="1" applyFill="1" applyBorder="1" applyAlignment="1">
      <alignment horizontal="center" vertical="center"/>
    </xf>
  </cellXfs>
  <cellStyles count="13">
    <cellStyle name="2 - ENTRADA" xfId="1" xr:uid="{6000F4E9-494F-4D96-8646-D27B15755B10}"/>
    <cellStyle name="20% - Ênfase1" xfId="8" builtinId="30"/>
    <cellStyle name="20% - Ênfase2" xfId="9" builtinId="34"/>
    <cellStyle name="20% - Ênfase3" xfId="10" builtinId="38"/>
    <cellStyle name="3 - Resultados" xfId="6" xr:uid="{99418DF6-096B-4884-91E7-EB571D28CD99}"/>
    <cellStyle name="4 - Descrições" xfId="5" xr:uid="{A3D6AEEC-1C6B-4866-A1DD-17561992FCFE}"/>
    <cellStyle name="7 - ATENCAO" xfId="4" xr:uid="{5C462BB8-6A2C-45F1-A1CB-A724103265B9}"/>
    <cellStyle name="Normal" xfId="0" builtinId="0"/>
    <cellStyle name="Normal 2" xfId="7" xr:uid="{79A12D87-438D-4326-BE61-85988BA8E74A}"/>
    <cellStyle name="Normal 3" xfId="12" xr:uid="{14D9E5B5-C88C-4A41-9F86-8AF650E97BA0}"/>
    <cellStyle name="RESULTADOS" xfId="3" xr:uid="{EC3E9ED4-B3D8-4AAE-A49B-C87300359F6E}"/>
    <cellStyle name="Titulo 2" xfId="2" xr:uid="{4E1D782F-2855-4B9D-AE16-F09356633AAB}"/>
    <cellStyle name="TITULOS" xfId="11" xr:uid="{D6278C83-1846-4D43-B8B2-0313EF4497DE}"/>
  </cellStyles>
  <dxfs count="7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9" formatCode="General\ &quot;Mpa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0.00\ &quot;Mpa&quot;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1" formatCode="0.00\ &quot;Mpa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sz val="10"/>
        <color auto="1"/>
        <name val="Calibri"/>
        <family val="2"/>
        <scheme val="minor"/>
      </font>
    </dxf>
    <dxf>
      <font>
        <strike val="0"/>
        <outline val="0"/>
        <shadow val="0"/>
        <u val="none"/>
        <sz val="10"/>
        <color auto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6"/>
      </font>
      <fill>
        <patternFill>
          <bgColor theme="0" tint="-4.9989318521683403E-2"/>
        </patternFill>
      </fill>
    </dxf>
    <dxf>
      <font>
        <b/>
        <i val="0"/>
        <color theme="8"/>
      </font>
      <fill>
        <patternFill>
          <bgColor theme="0" tint="-4.9989318521683403E-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theme="0" tint="-4.9989318521683403E-2"/>
        </patternFill>
      </fill>
    </dxf>
    <dxf>
      <font>
        <b/>
        <i val="0"/>
        <color rgb="FF006100"/>
      </font>
      <fill>
        <patternFill>
          <bgColor theme="0" tint="-4.9989318521683403E-2"/>
        </patternFill>
      </fill>
    </dxf>
    <dxf>
      <font>
        <b/>
        <i val="0"/>
        <color rgb="FF9C5700"/>
      </font>
      <fill>
        <patternFill>
          <bgColor theme="0" tint="-4.9989318521683403E-2"/>
        </patternFill>
      </fill>
    </dxf>
    <dxf>
      <font>
        <b/>
        <i val="0"/>
        <color rgb="FF006100"/>
      </font>
      <fill>
        <patternFill>
          <bgColor theme="0" tint="-4.9989318521683403E-2"/>
        </patternFill>
      </fill>
    </dxf>
    <dxf>
      <font>
        <b/>
        <i val="0"/>
        <color rgb="FF9C0006"/>
      </font>
      <fill>
        <patternFill>
          <bgColor theme="0" tint="-4.9989318521683403E-2"/>
        </patternFill>
      </fill>
    </dxf>
    <dxf>
      <font>
        <b/>
        <i val="0"/>
        <color rgb="FF9C5700"/>
      </font>
      <fill>
        <patternFill>
          <bgColor theme="0" tint="-4.9989318521683403E-2"/>
        </patternFill>
      </fill>
    </dxf>
    <dxf>
      <font>
        <b/>
        <i val="0"/>
        <color rgb="FF9C0006"/>
      </font>
      <fill>
        <patternFill>
          <bgColor theme="0" tint="-4.9989318521683403E-2"/>
        </patternFill>
      </fill>
    </dxf>
    <dxf>
      <font>
        <b/>
        <i val="0"/>
        <color rgb="FF006100"/>
      </font>
      <fill>
        <patternFill>
          <bgColor theme="0" tint="-4.9989318521683403E-2"/>
        </patternFill>
      </fill>
    </dxf>
    <dxf>
      <font>
        <b/>
        <i val="0"/>
        <color rgb="FF9C5700"/>
      </font>
      <fill>
        <patternFill>
          <bgColor theme="0" tint="-4.9989318521683403E-2"/>
        </patternFill>
      </fill>
    </dxf>
    <dxf>
      <font>
        <b/>
        <i val="0"/>
        <color rgb="FF9C0006"/>
      </font>
      <fill>
        <patternFill patternType="solid">
          <bgColor theme="0" tint="-4.9989318521683403E-2"/>
        </patternFill>
      </fill>
    </dxf>
    <dxf>
      <font>
        <b/>
        <i val="0"/>
        <color rgb="FF9C5700"/>
      </font>
      <fill>
        <patternFill patternType="solid">
          <bgColor theme="0" tint="-4.9989318521683403E-2"/>
        </patternFill>
      </fill>
    </dxf>
    <dxf>
      <font>
        <b/>
        <i val="0"/>
        <color rgb="FF006100"/>
      </font>
      <fill>
        <patternFill patternType="solid">
          <bgColor theme="0" tint="-4.9989318521683403E-2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theme="8"/>
      </font>
      <fill>
        <patternFill patternType="none">
          <bgColor auto="1"/>
        </patternFill>
      </fill>
    </dxf>
    <dxf>
      <font>
        <b/>
        <i val="0"/>
        <color theme="5"/>
      </font>
      <fill>
        <patternFill patternType="none">
          <bgColor auto="1"/>
        </patternFill>
      </fill>
    </dxf>
    <dxf>
      <font>
        <b/>
        <i val="0"/>
        <color theme="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5700"/>
      </font>
      <fill>
        <patternFill patternType="none">
          <bgColor auto="1"/>
        </patternFill>
      </fill>
    </dxf>
    <dxf>
      <font>
        <b/>
        <i val="0"/>
        <color theme="8"/>
      </font>
      <fill>
        <patternFill>
          <bgColor theme="8" tint="0.79998168889431442"/>
        </patternFill>
      </fill>
    </dxf>
    <dxf>
      <font>
        <b/>
        <i val="0"/>
        <color theme="6"/>
      </font>
      <fill>
        <patternFill>
          <bgColor theme="6" tint="0.79998168889431442"/>
        </patternFill>
      </fill>
    </dxf>
    <dxf>
      <font>
        <b/>
        <i val="0"/>
        <color theme="8"/>
      </font>
      <fill>
        <patternFill>
          <bgColor theme="8" tint="0.79998168889431442"/>
        </patternFill>
      </fill>
    </dxf>
    <dxf>
      <font>
        <b/>
        <i val="0"/>
        <color theme="6"/>
      </font>
      <fill>
        <patternFill>
          <bgColor theme="6" tint="0.79998168889431442"/>
        </patternFill>
      </fill>
    </dxf>
    <dxf>
      <font>
        <b/>
        <i val="0"/>
        <color theme="6"/>
      </font>
      <fill>
        <patternFill>
          <bgColor theme="0" tint="-4.9989318521683403E-2"/>
        </patternFill>
      </fill>
    </dxf>
    <dxf>
      <font>
        <b/>
        <i val="0"/>
        <color theme="8"/>
      </font>
      <fill>
        <patternFill>
          <bgColor theme="0" tint="-4.9989318521683403E-2"/>
        </patternFill>
      </fill>
    </dxf>
    <dxf>
      <font>
        <b/>
        <i val="0"/>
        <color theme="6"/>
      </font>
      <fill>
        <patternFill>
          <bgColor theme="0" tint="-4.9989318521683403E-2"/>
        </patternFill>
      </fill>
    </dxf>
    <dxf>
      <font>
        <b/>
        <i val="0"/>
        <color theme="8"/>
      </font>
      <fill>
        <patternFill>
          <bgColor theme="0" tint="-4.9989318521683403E-2"/>
        </patternFill>
      </fill>
    </dxf>
    <dxf>
      <font>
        <b/>
        <i val="0"/>
        <color rgb="FF006100"/>
      </font>
      <fill>
        <patternFill patternType="solid">
          <bgColor theme="0" tint="-0.14996795556505021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theme="8"/>
      </font>
      <fill>
        <patternFill>
          <bgColor theme="8" tint="0.79998168889431442"/>
        </patternFill>
      </fill>
    </dxf>
    <dxf>
      <font>
        <b/>
        <i val="0"/>
        <color theme="6"/>
      </font>
      <fill>
        <patternFill>
          <bgColor theme="6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theme="8"/>
      </font>
      <fill>
        <patternFill>
          <bgColor theme="8" tint="0.79998168889431442"/>
        </patternFill>
      </fill>
    </dxf>
    <dxf>
      <font>
        <b/>
        <i val="0"/>
        <color theme="6"/>
      </font>
      <fill>
        <patternFill>
          <bgColor theme="6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theme="8"/>
      </font>
      <fill>
        <patternFill>
          <bgColor theme="8" tint="0.79998168889431442"/>
        </patternFill>
      </fill>
    </dxf>
    <dxf>
      <font>
        <b/>
        <i val="0"/>
        <color theme="6"/>
      </font>
      <fill>
        <patternFill>
          <bgColor theme="6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</font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u val="none"/>
      </font>
      <fill>
        <patternFill patternType="solid">
          <bgColor theme="4" tint="0.59996337778862885"/>
        </patternFill>
      </fill>
    </dxf>
    <dxf>
      <font>
        <b val="0"/>
        <i/>
      </font>
      <fill>
        <patternFill patternType="solid">
          <bgColor theme="9" tint="0.59996337778862885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</dxfs>
  <tableStyles count="2" defaultTableStyle="TableStyleMedium2" defaultPivotStyle="PivotStyleLight16">
    <tableStyle name="GN Estruturas" pivot="0" count="2" xr9:uid="{BCC0201F-6E6D-4BB8-82AA-AE0BCA6E811E}">
      <tableStyleElement type="wholeTable" dxfId="69"/>
      <tableStyleElement type="headerRow" dxfId="68"/>
    </tableStyle>
    <tableStyle name="Tabela GN" table="0" count="2" xr9:uid="{E139FE5D-54E1-44DC-B759-C746027171A8}">
      <tableStyleElement type="wholeTable" dxfId="67"/>
      <tableStyleElement type="pageFieldLabels" dxfId="66"/>
    </tableStyle>
  </tableStyles>
  <colors>
    <mruColors>
      <color rgb="FFFFEB9C"/>
      <color rgb="FFC1F0C8"/>
      <color rgb="FF006100"/>
      <color rgb="FF002060"/>
      <color rgb="FFA9D18E"/>
      <color rgb="FFFFC7CE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misula!A1"/><Relationship Id="rId3" Type="http://schemas.openxmlformats.org/officeDocument/2006/relationships/hyperlink" Target="#'b15'!A1"/><Relationship Id="rId7" Type="http://schemas.openxmlformats.org/officeDocument/2006/relationships/hyperlink" Target="#'b40'!A1"/><Relationship Id="rId2" Type="http://schemas.openxmlformats.org/officeDocument/2006/relationships/hyperlink" Target="#In&#237;cio!A1"/><Relationship Id="rId1" Type="http://schemas.openxmlformats.org/officeDocument/2006/relationships/hyperlink" Target="#Consoles!A1"/><Relationship Id="rId6" Type="http://schemas.openxmlformats.org/officeDocument/2006/relationships/hyperlink" Target="#'b30'!A1"/><Relationship Id="rId5" Type="http://schemas.openxmlformats.org/officeDocument/2006/relationships/hyperlink" Target="#'b25'!A1"/><Relationship Id="rId4" Type="http://schemas.openxmlformats.org/officeDocument/2006/relationships/hyperlink" Target="#'b20'!A1"/><Relationship Id="rId9" Type="http://schemas.openxmlformats.org/officeDocument/2006/relationships/hyperlink" Target="#Neopren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b20'!A1"/><Relationship Id="rId13" Type="http://schemas.openxmlformats.org/officeDocument/2006/relationships/hyperlink" Target="#Neoprene!A1"/><Relationship Id="rId3" Type="http://schemas.openxmlformats.org/officeDocument/2006/relationships/image" Target="../media/image7.png"/><Relationship Id="rId7" Type="http://schemas.openxmlformats.org/officeDocument/2006/relationships/hyperlink" Target="#'b15'!A1"/><Relationship Id="rId12" Type="http://schemas.openxmlformats.org/officeDocument/2006/relationships/hyperlink" Target="#misula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hyperlink" Target="#In&#237;cio!A1"/><Relationship Id="rId11" Type="http://schemas.openxmlformats.org/officeDocument/2006/relationships/hyperlink" Target="#'b40'!A1"/><Relationship Id="rId5" Type="http://schemas.openxmlformats.org/officeDocument/2006/relationships/hyperlink" Target="#Consoles!A1"/><Relationship Id="rId10" Type="http://schemas.openxmlformats.org/officeDocument/2006/relationships/hyperlink" Target="#'b30'!A1"/><Relationship Id="rId4" Type="http://schemas.openxmlformats.org/officeDocument/2006/relationships/image" Target="../media/image8.png"/><Relationship Id="rId9" Type="http://schemas.openxmlformats.org/officeDocument/2006/relationships/hyperlink" Target="#'b25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misula!A1"/><Relationship Id="rId3" Type="http://schemas.openxmlformats.org/officeDocument/2006/relationships/hyperlink" Target="#'b15'!A1"/><Relationship Id="rId7" Type="http://schemas.openxmlformats.org/officeDocument/2006/relationships/hyperlink" Target="#'b40'!A1"/><Relationship Id="rId2" Type="http://schemas.openxmlformats.org/officeDocument/2006/relationships/hyperlink" Target="#In&#237;cio!A1"/><Relationship Id="rId1" Type="http://schemas.openxmlformats.org/officeDocument/2006/relationships/hyperlink" Target="#Consoles!A1"/><Relationship Id="rId6" Type="http://schemas.openxmlformats.org/officeDocument/2006/relationships/hyperlink" Target="#'b30'!A1"/><Relationship Id="rId5" Type="http://schemas.openxmlformats.org/officeDocument/2006/relationships/hyperlink" Target="#'b25'!A1"/><Relationship Id="rId10" Type="http://schemas.openxmlformats.org/officeDocument/2006/relationships/image" Target="../media/image9.PNG"/><Relationship Id="rId4" Type="http://schemas.openxmlformats.org/officeDocument/2006/relationships/hyperlink" Target="#'b20'!A1"/><Relationship Id="rId9" Type="http://schemas.openxmlformats.org/officeDocument/2006/relationships/hyperlink" Target="#Neoprene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b40'!A1"/><Relationship Id="rId3" Type="http://schemas.openxmlformats.org/officeDocument/2006/relationships/hyperlink" Target="#In&#237;cio!A1"/><Relationship Id="rId7" Type="http://schemas.openxmlformats.org/officeDocument/2006/relationships/hyperlink" Target="#'b30'!A1"/><Relationship Id="rId2" Type="http://schemas.openxmlformats.org/officeDocument/2006/relationships/hyperlink" Target="#Consoles!A1"/><Relationship Id="rId1" Type="http://schemas.openxmlformats.org/officeDocument/2006/relationships/hyperlink" Target="#misula!A1"/><Relationship Id="rId6" Type="http://schemas.openxmlformats.org/officeDocument/2006/relationships/hyperlink" Target="#'b25'!A1"/><Relationship Id="rId5" Type="http://schemas.openxmlformats.org/officeDocument/2006/relationships/hyperlink" Target="#'b20'!A1"/><Relationship Id="rId10" Type="http://schemas.openxmlformats.org/officeDocument/2006/relationships/image" Target="../media/image10.PNG"/><Relationship Id="rId4" Type="http://schemas.openxmlformats.org/officeDocument/2006/relationships/hyperlink" Target="#'b15'!A1"/><Relationship Id="rId9" Type="http://schemas.openxmlformats.org/officeDocument/2006/relationships/hyperlink" Target="#Neoprene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b40'!A1"/><Relationship Id="rId3" Type="http://schemas.openxmlformats.org/officeDocument/2006/relationships/hyperlink" Target="#In&#237;cio!A1"/><Relationship Id="rId7" Type="http://schemas.openxmlformats.org/officeDocument/2006/relationships/hyperlink" Target="#'b30'!A1"/><Relationship Id="rId2" Type="http://schemas.openxmlformats.org/officeDocument/2006/relationships/hyperlink" Target="#Consoles!A1"/><Relationship Id="rId1" Type="http://schemas.openxmlformats.org/officeDocument/2006/relationships/hyperlink" Target="#misula!A1"/><Relationship Id="rId6" Type="http://schemas.openxmlformats.org/officeDocument/2006/relationships/hyperlink" Target="#'b25'!A1"/><Relationship Id="rId5" Type="http://schemas.openxmlformats.org/officeDocument/2006/relationships/hyperlink" Target="#'b20'!A1"/><Relationship Id="rId10" Type="http://schemas.openxmlformats.org/officeDocument/2006/relationships/image" Target="../media/image10.PNG"/><Relationship Id="rId4" Type="http://schemas.openxmlformats.org/officeDocument/2006/relationships/hyperlink" Target="#'b15'!A1"/><Relationship Id="rId9" Type="http://schemas.openxmlformats.org/officeDocument/2006/relationships/hyperlink" Target="#Neoprene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misula!A1"/><Relationship Id="rId3" Type="http://schemas.openxmlformats.org/officeDocument/2006/relationships/hyperlink" Target="#'b15'!A1"/><Relationship Id="rId7" Type="http://schemas.openxmlformats.org/officeDocument/2006/relationships/hyperlink" Target="#'b40'!A1"/><Relationship Id="rId2" Type="http://schemas.openxmlformats.org/officeDocument/2006/relationships/hyperlink" Target="#In&#237;cio!A1"/><Relationship Id="rId1" Type="http://schemas.openxmlformats.org/officeDocument/2006/relationships/hyperlink" Target="#Consoles!A1"/><Relationship Id="rId6" Type="http://schemas.openxmlformats.org/officeDocument/2006/relationships/hyperlink" Target="#'b30'!A1"/><Relationship Id="rId5" Type="http://schemas.openxmlformats.org/officeDocument/2006/relationships/hyperlink" Target="#'b25'!A1"/><Relationship Id="rId10" Type="http://schemas.openxmlformats.org/officeDocument/2006/relationships/image" Target="../media/image11.PNG"/><Relationship Id="rId4" Type="http://schemas.openxmlformats.org/officeDocument/2006/relationships/hyperlink" Target="#'b20'!A1"/><Relationship Id="rId9" Type="http://schemas.openxmlformats.org/officeDocument/2006/relationships/hyperlink" Target="#Neopren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misula!A1"/><Relationship Id="rId3" Type="http://schemas.openxmlformats.org/officeDocument/2006/relationships/hyperlink" Target="#'b15'!A1"/><Relationship Id="rId7" Type="http://schemas.openxmlformats.org/officeDocument/2006/relationships/hyperlink" Target="#'b40'!A1"/><Relationship Id="rId2" Type="http://schemas.openxmlformats.org/officeDocument/2006/relationships/hyperlink" Target="#In&#237;cio!A1"/><Relationship Id="rId1" Type="http://schemas.openxmlformats.org/officeDocument/2006/relationships/hyperlink" Target="#Consoles!A1"/><Relationship Id="rId6" Type="http://schemas.openxmlformats.org/officeDocument/2006/relationships/hyperlink" Target="#'b30'!A1"/><Relationship Id="rId5" Type="http://schemas.openxmlformats.org/officeDocument/2006/relationships/hyperlink" Target="#'b25'!A1"/><Relationship Id="rId10" Type="http://schemas.openxmlformats.org/officeDocument/2006/relationships/image" Target="../media/image11.PNG"/><Relationship Id="rId4" Type="http://schemas.openxmlformats.org/officeDocument/2006/relationships/hyperlink" Target="#'b20'!A1"/><Relationship Id="rId9" Type="http://schemas.openxmlformats.org/officeDocument/2006/relationships/hyperlink" Target="#Neoprene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misula!A1"/><Relationship Id="rId3" Type="http://schemas.openxmlformats.org/officeDocument/2006/relationships/hyperlink" Target="#'b15'!A1"/><Relationship Id="rId7" Type="http://schemas.openxmlformats.org/officeDocument/2006/relationships/hyperlink" Target="#'b40'!A1"/><Relationship Id="rId2" Type="http://schemas.openxmlformats.org/officeDocument/2006/relationships/hyperlink" Target="#In&#237;cio!A1"/><Relationship Id="rId1" Type="http://schemas.openxmlformats.org/officeDocument/2006/relationships/hyperlink" Target="#Consoles!A1"/><Relationship Id="rId6" Type="http://schemas.openxmlformats.org/officeDocument/2006/relationships/hyperlink" Target="#'b30'!A1"/><Relationship Id="rId5" Type="http://schemas.openxmlformats.org/officeDocument/2006/relationships/hyperlink" Target="#'b25'!A1"/><Relationship Id="rId10" Type="http://schemas.openxmlformats.org/officeDocument/2006/relationships/image" Target="../media/image12.png"/><Relationship Id="rId4" Type="http://schemas.openxmlformats.org/officeDocument/2006/relationships/hyperlink" Target="#'b20'!A1"/><Relationship Id="rId9" Type="http://schemas.openxmlformats.org/officeDocument/2006/relationships/hyperlink" Target="#Neoprene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misula!A1"/><Relationship Id="rId3" Type="http://schemas.openxmlformats.org/officeDocument/2006/relationships/hyperlink" Target="#'b15'!A1"/><Relationship Id="rId7" Type="http://schemas.openxmlformats.org/officeDocument/2006/relationships/hyperlink" Target="#'b40'!A1"/><Relationship Id="rId2" Type="http://schemas.openxmlformats.org/officeDocument/2006/relationships/hyperlink" Target="#In&#237;cio!A1"/><Relationship Id="rId1" Type="http://schemas.openxmlformats.org/officeDocument/2006/relationships/hyperlink" Target="#Consoles!A1"/><Relationship Id="rId6" Type="http://schemas.openxmlformats.org/officeDocument/2006/relationships/hyperlink" Target="#'b30'!A1"/><Relationship Id="rId5" Type="http://schemas.openxmlformats.org/officeDocument/2006/relationships/hyperlink" Target="#'b25'!A1"/><Relationship Id="rId4" Type="http://schemas.openxmlformats.org/officeDocument/2006/relationships/hyperlink" Target="#'b20'!A1"/><Relationship Id="rId9" Type="http://schemas.openxmlformats.org/officeDocument/2006/relationships/hyperlink" Target="#Neoprene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14</xdr:col>
      <xdr:colOff>462828</xdr:colOff>
      <xdr:row>2</xdr:row>
      <xdr:rowOff>1455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381000" y="190500"/>
          <a:ext cx="7918305" cy="252569"/>
          <a:chOff x="387927" y="193964"/>
          <a:chExt cx="8124392" cy="250836"/>
        </a:xfrm>
      </xdr:grpSpPr>
      <xdr:sp macro="" textlink="">
        <xdr:nvSpPr>
          <xdr:cNvPr id="24" name="Rectangle 2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1191749" y="193964"/>
            <a:ext cx="1673313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DIMENSIONAMENTO</a:t>
            </a:r>
          </a:p>
        </xdr:txBody>
      </xdr:sp>
      <xdr:sp macro="" textlink="">
        <xdr:nvSpPr>
          <xdr:cNvPr id="25" name="Rectangle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387927" y="193964"/>
            <a:ext cx="775306" cy="250836"/>
          </a:xfrm>
          <a:prstGeom prst="rect">
            <a:avLst/>
          </a:prstGeom>
          <a:gradFill flip="none" rotWithShape="1">
            <a:gsLst>
              <a:gs pos="0">
                <a:schemeClr val="accent1">
                  <a:satMod val="105000"/>
                  <a:tint val="67000"/>
                  <a:alpha val="90000"/>
                  <a:lumMod val="85000"/>
                  <a:lumOff val="15000"/>
                </a:schemeClr>
              </a:gs>
              <a:gs pos="100000">
                <a:schemeClr val="accent1">
                  <a:satMod val="109000"/>
                  <a:tint val="81000"/>
                  <a:lumMod val="95000"/>
                </a:schemeClr>
              </a:gs>
            </a:gsLst>
            <a:lin ang="5400000" scaled="1"/>
            <a:tileRect/>
          </a:gradFill>
          <a:ln w="9525">
            <a:solidFill>
              <a:srgbClr val="002060"/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rgbClr val="002060"/>
                </a:solidFill>
                <a:latin typeface="+mn-lt"/>
                <a:ea typeface="+mn-ea"/>
                <a:cs typeface="+mn-cs"/>
              </a:rPr>
              <a:t>INÍCIO</a:t>
            </a:r>
          </a:p>
        </xdr:txBody>
      </xdr:sp>
      <xdr:sp macro="" textlink="">
        <xdr:nvSpPr>
          <xdr:cNvPr id="26" name="Rectangle 2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2893578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15</a:t>
            </a:r>
          </a:p>
        </xdr:txBody>
      </xdr:sp>
      <xdr:sp macro="" textlink="">
        <xdr:nvSpPr>
          <xdr:cNvPr id="27" name="Rectangle 2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3658482" y="193964"/>
            <a:ext cx="73340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20</a:t>
            </a:r>
          </a:p>
        </xdr:txBody>
      </xdr:sp>
      <xdr:sp macro="" textlink="">
        <xdr:nvSpPr>
          <xdr:cNvPr id="28" name="Rectangle 2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4420406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25</a:t>
            </a:r>
          </a:p>
        </xdr:txBody>
      </xdr:sp>
      <xdr:sp macro="" textlink="">
        <xdr:nvSpPr>
          <xdr:cNvPr id="29" name="Rectangle 2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5185310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30</a:t>
            </a:r>
          </a:p>
        </xdr:txBody>
      </xdr:sp>
      <xdr:sp macro="" textlink="">
        <xdr:nvSpPr>
          <xdr:cNvPr id="30" name="Rectangle 2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5950214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40</a:t>
            </a:r>
          </a:p>
        </xdr:txBody>
      </xdr:sp>
      <xdr:sp macro="" textlink="">
        <xdr:nvSpPr>
          <xdr:cNvPr id="31" name="Rectangle 2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6715118" y="193964"/>
            <a:ext cx="734347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MÍSULA</a:t>
            </a:r>
          </a:p>
        </xdr:txBody>
      </xdr:sp>
      <xdr:sp macro="" textlink="">
        <xdr:nvSpPr>
          <xdr:cNvPr id="32" name="Rectangle 22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7477982" y="193964"/>
            <a:ext cx="1034337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NEOPRENE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1460079</xdr:colOff>
      <xdr:row>23</xdr:row>
      <xdr:rowOff>40374</xdr:rowOff>
    </xdr:from>
    <xdr:to>
      <xdr:col>8</xdr:col>
      <xdr:colOff>1286117</xdr:colOff>
      <xdr:row>31</xdr:row>
      <xdr:rowOff>138834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329" y="4326624"/>
          <a:ext cx="1540538" cy="1622460"/>
        </a:xfrm>
        <a:prstGeom prst="rect">
          <a:avLst/>
        </a:prstGeom>
      </xdr:spPr>
    </xdr:pic>
    <xdr:clientData/>
  </xdr:twoCellAnchor>
  <xdr:twoCellAnchor editAs="oneCell">
    <xdr:from>
      <xdr:col>5</xdr:col>
      <xdr:colOff>737680</xdr:colOff>
      <xdr:row>55</xdr:row>
      <xdr:rowOff>24898</xdr:rowOff>
    </xdr:from>
    <xdr:to>
      <xdr:col>8</xdr:col>
      <xdr:colOff>1297859</xdr:colOff>
      <xdr:row>76</xdr:row>
      <xdr:rowOff>25978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59953" y="10684239"/>
          <a:ext cx="4240292" cy="4001580"/>
        </a:xfrm>
        <a:prstGeom prst="rect">
          <a:avLst/>
        </a:prstGeom>
        <a:ln>
          <a:noFill/>
          <a:prstDash val="dashDot"/>
        </a:ln>
      </xdr:spPr>
    </xdr:pic>
    <xdr:clientData/>
  </xdr:twoCellAnchor>
  <xdr:twoCellAnchor editAs="oneCell">
    <xdr:from>
      <xdr:col>1</xdr:col>
      <xdr:colOff>20782</xdr:colOff>
      <xdr:row>19</xdr:row>
      <xdr:rowOff>187804</xdr:rowOff>
    </xdr:from>
    <xdr:to>
      <xdr:col>6</xdr:col>
      <xdr:colOff>1073843</xdr:colOff>
      <xdr:row>30</xdr:row>
      <xdr:rowOff>51088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1782" y="3921604"/>
          <a:ext cx="6539461" cy="1958784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590557</xdr:colOff>
      <xdr:row>96</xdr:row>
      <xdr:rowOff>1</xdr:rowOff>
    </xdr:from>
    <xdr:to>
      <xdr:col>8</xdr:col>
      <xdr:colOff>1304931</xdr:colOff>
      <xdr:row>119</xdr:row>
      <xdr:rowOff>53049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37245" y="18303876"/>
          <a:ext cx="4389437" cy="4434548"/>
        </a:xfrm>
        <a:prstGeom prst="rect">
          <a:avLst/>
        </a:prstGeom>
        <a:ln>
          <a:noFill/>
          <a:prstDash val="dashDot"/>
        </a:ln>
      </xdr:spPr>
    </xdr:pic>
    <xdr:clientData/>
  </xdr:twoCellAnchor>
  <xdr:twoCellAnchor>
    <xdr:from>
      <xdr:col>1</xdr:col>
      <xdr:colOff>787887</xdr:colOff>
      <xdr:row>1</xdr:row>
      <xdr:rowOff>0</xdr:rowOff>
    </xdr:from>
    <xdr:to>
      <xdr:col>3</xdr:col>
      <xdr:colOff>202642</xdr:colOff>
      <xdr:row>2</xdr:row>
      <xdr:rowOff>1455</xdr:rowOff>
    </xdr:to>
    <xdr:sp macro="" textlink="">
      <xdr:nvSpPr>
        <xdr:cNvPr id="22" name="Rectangle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168887" y="190500"/>
          <a:ext cx="1640141" cy="252569"/>
        </a:xfrm>
        <a:prstGeom prst="rect">
          <a:avLst/>
        </a:prstGeom>
        <a:gradFill flip="none" rotWithShape="1">
          <a:gsLst>
            <a:gs pos="0">
              <a:schemeClr val="accent1">
                <a:satMod val="105000"/>
                <a:tint val="67000"/>
                <a:alpha val="90000"/>
                <a:lumMod val="85000"/>
                <a:lumOff val="15000"/>
              </a:schemeClr>
            </a:gs>
            <a:gs pos="100000">
              <a:schemeClr val="accent1">
                <a:satMod val="109000"/>
                <a:tint val="81000"/>
                <a:lumMod val="95000"/>
              </a:schemeClr>
            </a:gs>
          </a:gsLst>
          <a:lin ang="5400000" scaled="1"/>
          <a:tileRect/>
        </a:gradFill>
        <a:ln w="9525">
          <a:solidFill>
            <a:srgbClr val="002060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672932"/>
                    <a:gd name="connsiteY0" fmla="*/ 0 h 250836"/>
                    <a:gd name="connsiteX1" fmla="*/ 591103 w 1672932"/>
                    <a:gd name="connsiteY1" fmla="*/ 0 h 250836"/>
                    <a:gd name="connsiteX2" fmla="*/ 1165476 w 1672932"/>
                    <a:gd name="connsiteY2" fmla="*/ 0 h 250836"/>
                    <a:gd name="connsiteX3" fmla="*/ 1672932 w 1672932"/>
                    <a:gd name="connsiteY3" fmla="*/ 0 h 250836"/>
                    <a:gd name="connsiteX4" fmla="*/ 1672932 w 1672932"/>
                    <a:gd name="connsiteY4" fmla="*/ 250836 h 250836"/>
                    <a:gd name="connsiteX5" fmla="*/ 1148747 w 1672932"/>
                    <a:gd name="connsiteY5" fmla="*/ 250836 h 250836"/>
                    <a:gd name="connsiteX6" fmla="*/ 591103 w 1672932"/>
                    <a:gd name="connsiteY6" fmla="*/ 250836 h 250836"/>
                    <a:gd name="connsiteX7" fmla="*/ 0 w 1672932"/>
                    <a:gd name="connsiteY7" fmla="*/ 250836 h 250836"/>
                    <a:gd name="connsiteX8" fmla="*/ 0 w 1672932"/>
                    <a:gd name="connsiteY8" fmla="*/ 0 h 25083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672932" h="250836" fill="none" extrusionOk="0">
                      <a:moveTo>
                        <a:pt x="0" y="0"/>
                      </a:moveTo>
                      <a:cubicBezTo>
                        <a:pt x="188116" y="9293"/>
                        <a:pt x="453306" y="4280"/>
                        <a:pt x="591103" y="0"/>
                      </a:cubicBezTo>
                      <a:cubicBezTo>
                        <a:pt x="728900" y="-4280"/>
                        <a:pt x="1049044" y="8924"/>
                        <a:pt x="1165476" y="0"/>
                      </a:cubicBezTo>
                      <a:cubicBezTo>
                        <a:pt x="1281908" y="-8924"/>
                        <a:pt x="1460273" y="-4308"/>
                        <a:pt x="1672932" y="0"/>
                      </a:cubicBezTo>
                      <a:cubicBezTo>
                        <a:pt x="1674345" y="96037"/>
                        <a:pt x="1683683" y="170992"/>
                        <a:pt x="1672932" y="250836"/>
                      </a:cubicBezTo>
                      <a:cubicBezTo>
                        <a:pt x="1432881" y="249374"/>
                        <a:pt x="1321424" y="268884"/>
                        <a:pt x="1148747" y="250836"/>
                      </a:cubicBezTo>
                      <a:cubicBezTo>
                        <a:pt x="976070" y="232788"/>
                        <a:pt x="808532" y="255866"/>
                        <a:pt x="591103" y="250836"/>
                      </a:cubicBezTo>
                      <a:cubicBezTo>
                        <a:pt x="373674" y="245806"/>
                        <a:pt x="252669" y="238480"/>
                        <a:pt x="0" y="250836"/>
                      </a:cubicBezTo>
                      <a:cubicBezTo>
                        <a:pt x="2797" y="186319"/>
                        <a:pt x="-4645" y="91791"/>
                        <a:pt x="0" y="0"/>
                      </a:cubicBezTo>
                      <a:close/>
                    </a:path>
                    <a:path w="1672932" h="250836" stroke="0" extrusionOk="0">
                      <a:moveTo>
                        <a:pt x="0" y="0"/>
                      </a:moveTo>
                      <a:cubicBezTo>
                        <a:pt x="120509" y="-19469"/>
                        <a:pt x="405184" y="-26763"/>
                        <a:pt x="540915" y="0"/>
                      </a:cubicBezTo>
                      <a:cubicBezTo>
                        <a:pt x="676647" y="26763"/>
                        <a:pt x="858441" y="-8599"/>
                        <a:pt x="1048371" y="0"/>
                      </a:cubicBezTo>
                      <a:cubicBezTo>
                        <a:pt x="1238301" y="8599"/>
                        <a:pt x="1456240" y="2965"/>
                        <a:pt x="1672932" y="0"/>
                      </a:cubicBezTo>
                      <a:cubicBezTo>
                        <a:pt x="1681274" y="79328"/>
                        <a:pt x="1661979" y="126587"/>
                        <a:pt x="1672932" y="250836"/>
                      </a:cubicBezTo>
                      <a:cubicBezTo>
                        <a:pt x="1497203" y="241836"/>
                        <a:pt x="1342653" y="258489"/>
                        <a:pt x="1148747" y="250836"/>
                      </a:cubicBezTo>
                      <a:cubicBezTo>
                        <a:pt x="954842" y="243183"/>
                        <a:pt x="695422" y="258513"/>
                        <a:pt x="557644" y="250836"/>
                      </a:cubicBezTo>
                      <a:cubicBezTo>
                        <a:pt x="419866" y="243159"/>
                        <a:pt x="139903" y="246146"/>
                        <a:pt x="0" y="250836"/>
                      </a:cubicBezTo>
                      <a:cubicBezTo>
                        <a:pt x="-10878" y="137148"/>
                        <a:pt x="8115" y="9457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ln w="3175">
                <a:noFill/>
              </a:ln>
              <a:solidFill>
                <a:schemeClr val="accent1"/>
              </a:solidFill>
              <a:latin typeface="Aptos" panose="020B0004020202020204" pitchFamily="34" charset="0"/>
              <a:ea typeface="+mn-ea"/>
              <a:cs typeface="+mn-cs"/>
            </a:rPr>
            <a:t>DIMENSIONAMENTO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759936</xdr:colOff>
      <xdr:row>2</xdr:row>
      <xdr:rowOff>1455</xdr:rowOff>
    </xdr:to>
    <xdr:sp macro="" textlink="">
      <xdr:nvSpPr>
        <xdr:cNvPr id="23" name="Rectangle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381000" y="190500"/>
          <a:ext cx="759936" cy="252569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75000"/>
              </a:schemeClr>
            </a:gs>
          </a:gsLst>
          <a:lin ang="5400000" scaled="1"/>
          <a:tileRect/>
        </a:gradFill>
        <a:ln w="3175"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672932"/>
                    <a:gd name="connsiteY0" fmla="*/ 0 h 250836"/>
                    <a:gd name="connsiteX1" fmla="*/ 591103 w 1672932"/>
                    <a:gd name="connsiteY1" fmla="*/ 0 h 250836"/>
                    <a:gd name="connsiteX2" fmla="*/ 1165476 w 1672932"/>
                    <a:gd name="connsiteY2" fmla="*/ 0 h 250836"/>
                    <a:gd name="connsiteX3" fmla="*/ 1672932 w 1672932"/>
                    <a:gd name="connsiteY3" fmla="*/ 0 h 250836"/>
                    <a:gd name="connsiteX4" fmla="*/ 1672932 w 1672932"/>
                    <a:gd name="connsiteY4" fmla="*/ 250836 h 250836"/>
                    <a:gd name="connsiteX5" fmla="*/ 1148747 w 1672932"/>
                    <a:gd name="connsiteY5" fmla="*/ 250836 h 250836"/>
                    <a:gd name="connsiteX6" fmla="*/ 591103 w 1672932"/>
                    <a:gd name="connsiteY6" fmla="*/ 250836 h 250836"/>
                    <a:gd name="connsiteX7" fmla="*/ 0 w 1672932"/>
                    <a:gd name="connsiteY7" fmla="*/ 250836 h 250836"/>
                    <a:gd name="connsiteX8" fmla="*/ 0 w 1672932"/>
                    <a:gd name="connsiteY8" fmla="*/ 0 h 25083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672932" h="250836" fill="none" extrusionOk="0">
                      <a:moveTo>
                        <a:pt x="0" y="0"/>
                      </a:moveTo>
                      <a:cubicBezTo>
                        <a:pt x="188116" y="9293"/>
                        <a:pt x="453306" y="4280"/>
                        <a:pt x="591103" y="0"/>
                      </a:cubicBezTo>
                      <a:cubicBezTo>
                        <a:pt x="728900" y="-4280"/>
                        <a:pt x="1049044" y="8924"/>
                        <a:pt x="1165476" y="0"/>
                      </a:cubicBezTo>
                      <a:cubicBezTo>
                        <a:pt x="1281908" y="-8924"/>
                        <a:pt x="1460273" y="-4308"/>
                        <a:pt x="1672932" y="0"/>
                      </a:cubicBezTo>
                      <a:cubicBezTo>
                        <a:pt x="1674345" y="96037"/>
                        <a:pt x="1683683" y="170992"/>
                        <a:pt x="1672932" y="250836"/>
                      </a:cubicBezTo>
                      <a:cubicBezTo>
                        <a:pt x="1432881" y="249374"/>
                        <a:pt x="1321424" y="268884"/>
                        <a:pt x="1148747" y="250836"/>
                      </a:cubicBezTo>
                      <a:cubicBezTo>
                        <a:pt x="976070" y="232788"/>
                        <a:pt x="808532" y="255866"/>
                        <a:pt x="591103" y="250836"/>
                      </a:cubicBezTo>
                      <a:cubicBezTo>
                        <a:pt x="373674" y="245806"/>
                        <a:pt x="252669" y="238480"/>
                        <a:pt x="0" y="250836"/>
                      </a:cubicBezTo>
                      <a:cubicBezTo>
                        <a:pt x="2797" y="186319"/>
                        <a:pt x="-4645" y="91791"/>
                        <a:pt x="0" y="0"/>
                      </a:cubicBezTo>
                      <a:close/>
                    </a:path>
                    <a:path w="1672932" h="250836" stroke="0" extrusionOk="0">
                      <a:moveTo>
                        <a:pt x="0" y="0"/>
                      </a:moveTo>
                      <a:cubicBezTo>
                        <a:pt x="120509" y="-19469"/>
                        <a:pt x="405184" y="-26763"/>
                        <a:pt x="540915" y="0"/>
                      </a:cubicBezTo>
                      <a:cubicBezTo>
                        <a:pt x="676647" y="26763"/>
                        <a:pt x="858441" y="-8599"/>
                        <a:pt x="1048371" y="0"/>
                      </a:cubicBezTo>
                      <a:cubicBezTo>
                        <a:pt x="1238301" y="8599"/>
                        <a:pt x="1456240" y="2965"/>
                        <a:pt x="1672932" y="0"/>
                      </a:cubicBezTo>
                      <a:cubicBezTo>
                        <a:pt x="1681274" y="79328"/>
                        <a:pt x="1661979" y="126587"/>
                        <a:pt x="1672932" y="250836"/>
                      </a:cubicBezTo>
                      <a:cubicBezTo>
                        <a:pt x="1497203" y="241836"/>
                        <a:pt x="1342653" y="258489"/>
                        <a:pt x="1148747" y="250836"/>
                      </a:cubicBezTo>
                      <a:cubicBezTo>
                        <a:pt x="954842" y="243183"/>
                        <a:pt x="695422" y="258513"/>
                        <a:pt x="557644" y="250836"/>
                      </a:cubicBezTo>
                      <a:cubicBezTo>
                        <a:pt x="419866" y="243159"/>
                        <a:pt x="139903" y="246146"/>
                        <a:pt x="0" y="250836"/>
                      </a:cubicBezTo>
                      <a:cubicBezTo>
                        <a:pt x="-10878" y="137148"/>
                        <a:pt x="8115" y="9457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ln w="3175">
                <a:noFill/>
              </a:ln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INÍCIO</a:t>
          </a:r>
        </a:p>
      </xdr:txBody>
    </xdr:sp>
    <xdr:clientData/>
  </xdr:twoCellAnchor>
  <xdr:twoCellAnchor>
    <xdr:from>
      <xdr:col>3</xdr:col>
      <xdr:colOff>230592</xdr:colOff>
      <xdr:row>1</xdr:row>
      <xdr:rowOff>0</xdr:rowOff>
    </xdr:from>
    <xdr:to>
      <xdr:col>3</xdr:col>
      <xdr:colOff>952382</xdr:colOff>
      <xdr:row>2</xdr:row>
      <xdr:rowOff>1455</xdr:rowOff>
    </xdr:to>
    <xdr:sp macro="" textlink="">
      <xdr:nvSpPr>
        <xdr:cNvPr id="24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2836978" y="190500"/>
          <a:ext cx="721790" cy="252569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75000"/>
              </a:schemeClr>
            </a:gs>
          </a:gsLst>
          <a:lin ang="5400000" scaled="1"/>
          <a:tileRect/>
        </a:gradFill>
        <a:ln w="3175"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672932"/>
                    <a:gd name="connsiteY0" fmla="*/ 0 h 250836"/>
                    <a:gd name="connsiteX1" fmla="*/ 591103 w 1672932"/>
                    <a:gd name="connsiteY1" fmla="*/ 0 h 250836"/>
                    <a:gd name="connsiteX2" fmla="*/ 1165476 w 1672932"/>
                    <a:gd name="connsiteY2" fmla="*/ 0 h 250836"/>
                    <a:gd name="connsiteX3" fmla="*/ 1672932 w 1672932"/>
                    <a:gd name="connsiteY3" fmla="*/ 0 h 250836"/>
                    <a:gd name="connsiteX4" fmla="*/ 1672932 w 1672932"/>
                    <a:gd name="connsiteY4" fmla="*/ 250836 h 250836"/>
                    <a:gd name="connsiteX5" fmla="*/ 1148747 w 1672932"/>
                    <a:gd name="connsiteY5" fmla="*/ 250836 h 250836"/>
                    <a:gd name="connsiteX6" fmla="*/ 591103 w 1672932"/>
                    <a:gd name="connsiteY6" fmla="*/ 250836 h 250836"/>
                    <a:gd name="connsiteX7" fmla="*/ 0 w 1672932"/>
                    <a:gd name="connsiteY7" fmla="*/ 250836 h 250836"/>
                    <a:gd name="connsiteX8" fmla="*/ 0 w 1672932"/>
                    <a:gd name="connsiteY8" fmla="*/ 0 h 25083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672932" h="250836" fill="none" extrusionOk="0">
                      <a:moveTo>
                        <a:pt x="0" y="0"/>
                      </a:moveTo>
                      <a:cubicBezTo>
                        <a:pt x="188116" y="9293"/>
                        <a:pt x="453306" y="4280"/>
                        <a:pt x="591103" y="0"/>
                      </a:cubicBezTo>
                      <a:cubicBezTo>
                        <a:pt x="728900" y="-4280"/>
                        <a:pt x="1049044" y="8924"/>
                        <a:pt x="1165476" y="0"/>
                      </a:cubicBezTo>
                      <a:cubicBezTo>
                        <a:pt x="1281908" y="-8924"/>
                        <a:pt x="1460273" y="-4308"/>
                        <a:pt x="1672932" y="0"/>
                      </a:cubicBezTo>
                      <a:cubicBezTo>
                        <a:pt x="1674345" y="96037"/>
                        <a:pt x="1683683" y="170992"/>
                        <a:pt x="1672932" y="250836"/>
                      </a:cubicBezTo>
                      <a:cubicBezTo>
                        <a:pt x="1432881" y="249374"/>
                        <a:pt x="1321424" y="268884"/>
                        <a:pt x="1148747" y="250836"/>
                      </a:cubicBezTo>
                      <a:cubicBezTo>
                        <a:pt x="976070" y="232788"/>
                        <a:pt x="808532" y="255866"/>
                        <a:pt x="591103" y="250836"/>
                      </a:cubicBezTo>
                      <a:cubicBezTo>
                        <a:pt x="373674" y="245806"/>
                        <a:pt x="252669" y="238480"/>
                        <a:pt x="0" y="250836"/>
                      </a:cubicBezTo>
                      <a:cubicBezTo>
                        <a:pt x="2797" y="186319"/>
                        <a:pt x="-4645" y="91791"/>
                        <a:pt x="0" y="0"/>
                      </a:cubicBezTo>
                      <a:close/>
                    </a:path>
                    <a:path w="1672932" h="250836" stroke="0" extrusionOk="0">
                      <a:moveTo>
                        <a:pt x="0" y="0"/>
                      </a:moveTo>
                      <a:cubicBezTo>
                        <a:pt x="120509" y="-19469"/>
                        <a:pt x="405184" y="-26763"/>
                        <a:pt x="540915" y="0"/>
                      </a:cubicBezTo>
                      <a:cubicBezTo>
                        <a:pt x="676647" y="26763"/>
                        <a:pt x="858441" y="-8599"/>
                        <a:pt x="1048371" y="0"/>
                      </a:cubicBezTo>
                      <a:cubicBezTo>
                        <a:pt x="1238301" y="8599"/>
                        <a:pt x="1456240" y="2965"/>
                        <a:pt x="1672932" y="0"/>
                      </a:cubicBezTo>
                      <a:cubicBezTo>
                        <a:pt x="1681274" y="79328"/>
                        <a:pt x="1661979" y="126587"/>
                        <a:pt x="1672932" y="250836"/>
                      </a:cubicBezTo>
                      <a:cubicBezTo>
                        <a:pt x="1497203" y="241836"/>
                        <a:pt x="1342653" y="258489"/>
                        <a:pt x="1148747" y="250836"/>
                      </a:cubicBezTo>
                      <a:cubicBezTo>
                        <a:pt x="954842" y="243183"/>
                        <a:pt x="695422" y="258513"/>
                        <a:pt x="557644" y="250836"/>
                      </a:cubicBezTo>
                      <a:cubicBezTo>
                        <a:pt x="419866" y="243159"/>
                        <a:pt x="139903" y="246146"/>
                        <a:pt x="0" y="250836"/>
                      </a:cubicBezTo>
                      <a:cubicBezTo>
                        <a:pt x="-10878" y="137148"/>
                        <a:pt x="8115" y="9457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ln w="3175">
                <a:noFill/>
              </a:ln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Bw 15</a:t>
          </a:r>
        </a:p>
      </xdr:txBody>
    </xdr:sp>
    <xdr:clientData/>
  </xdr:twoCellAnchor>
  <xdr:twoCellAnchor>
    <xdr:from>
      <xdr:col>3</xdr:col>
      <xdr:colOff>980333</xdr:colOff>
      <xdr:row>1</xdr:row>
      <xdr:rowOff>0</xdr:rowOff>
    </xdr:from>
    <xdr:to>
      <xdr:col>4</xdr:col>
      <xdr:colOff>556202</xdr:colOff>
      <xdr:row>2</xdr:row>
      <xdr:rowOff>1455</xdr:rowOff>
    </xdr:to>
    <xdr:sp macro="" textlink="">
      <xdr:nvSpPr>
        <xdr:cNvPr id="25" name="Rectangle 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3586719" y="190500"/>
          <a:ext cx="718869" cy="252569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75000"/>
              </a:schemeClr>
            </a:gs>
          </a:gsLst>
          <a:lin ang="5400000" scaled="1"/>
          <a:tileRect/>
        </a:gradFill>
        <a:ln w="3175"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672932"/>
                    <a:gd name="connsiteY0" fmla="*/ 0 h 250836"/>
                    <a:gd name="connsiteX1" fmla="*/ 591103 w 1672932"/>
                    <a:gd name="connsiteY1" fmla="*/ 0 h 250836"/>
                    <a:gd name="connsiteX2" fmla="*/ 1165476 w 1672932"/>
                    <a:gd name="connsiteY2" fmla="*/ 0 h 250836"/>
                    <a:gd name="connsiteX3" fmla="*/ 1672932 w 1672932"/>
                    <a:gd name="connsiteY3" fmla="*/ 0 h 250836"/>
                    <a:gd name="connsiteX4" fmla="*/ 1672932 w 1672932"/>
                    <a:gd name="connsiteY4" fmla="*/ 250836 h 250836"/>
                    <a:gd name="connsiteX5" fmla="*/ 1148747 w 1672932"/>
                    <a:gd name="connsiteY5" fmla="*/ 250836 h 250836"/>
                    <a:gd name="connsiteX6" fmla="*/ 591103 w 1672932"/>
                    <a:gd name="connsiteY6" fmla="*/ 250836 h 250836"/>
                    <a:gd name="connsiteX7" fmla="*/ 0 w 1672932"/>
                    <a:gd name="connsiteY7" fmla="*/ 250836 h 250836"/>
                    <a:gd name="connsiteX8" fmla="*/ 0 w 1672932"/>
                    <a:gd name="connsiteY8" fmla="*/ 0 h 25083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672932" h="250836" fill="none" extrusionOk="0">
                      <a:moveTo>
                        <a:pt x="0" y="0"/>
                      </a:moveTo>
                      <a:cubicBezTo>
                        <a:pt x="188116" y="9293"/>
                        <a:pt x="453306" y="4280"/>
                        <a:pt x="591103" y="0"/>
                      </a:cubicBezTo>
                      <a:cubicBezTo>
                        <a:pt x="728900" y="-4280"/>
                        <a:pt x="1049044" y="8924"/>
                        <a:pt x="1165476" y="0"/>
                      </a:cubicBezTo>
                      <a:cubicBezTo>
                        <a:pt x="1281908" y="-8924"/>
                        <a:pt x="1460273" y="-4308"/>
                        <a:pt x="1672932" y="0"/>
                      </a:cubicBezTo>
                      <a:cubicBezTo>
                        <a:pt x="1674345" y="96037"/>
                        <a:pt x="1683683" y="170992"/>
                        <a:pt x="1672932" y="250836"/>
                      </a:cubicBezTo>
                      <a:cubicBezTo>
                        <a:pt x="1432881" y="249374"/>
                        <a:pt x="1321424" y="268884"/>
                        <a:pt x="1148747" y="250836"/>
                      </a:cubicBezTo>
                      <a:cubicBezTo>
                        <a:pt x="976070" y="232788"/>
                        <a:pt x="808532" y="255866"/>
                        <a:pt x="591103" y="250836"/>
                      </a:cubicBezTo>
                      <a:cubicBezTo>
                        <a:pt x="373674" y="245806"/>
                        <a:pt x="252669" y="238480"/>
                        <a:pt x="0" y="250836"/>
                      </a:cubicBezTo>
                      <a:cubicBezTo>
                        <a:pt x="2797" y="186319"/>
                        <a:pt x="-4645" y="91791"/>
                        <a:pt x="0" y="0"/>
                      </a:cubicBezTo>
                      <a:close/>
                    </a:path>
                    <a:path w="1672932" h="250836" stroke="0" extrusionOk="0">
                      <a:moveTo>
                        <a:pt x="0" y="0"/>
                      </a:moveTo>
                      <a:cubicBezTo>
                        <a:pt x="120509" y="-19469"/>
                        <a:pt x="405184" y="-26763"/>
                        <a:pt x="540915" y="0"/>
                      </a:cubicBezTo>
                      <a:cubicBezTo>
                        <a:pt x="676647" y="26763"/>
                        <a:pt x="858441" y="-8599"/>
                        <a:pt x="1048371" y="0"/>
                      </a:cubicBezTo>
                      <a:cubicBezTo>
                        <a:pt x="1238301" y="8599"/>
                        <a:pt x="1456240" y="2965"/>
                        <a:pt x="1672932" y="0"/>
                      </a:cubicBezTo>
                      <a:cubicBezTo>
                        <a:pt x="1681274" y="79328"/>
                        <a:pt x="1661979" y="126587"/>
                        <a:pt x="1672932" y="250836"/>
                      </a:cubicBezTo>
                      <a:cubicBezTo>
                        <a:pt x="1497203" y="241836"/>
                        <a:pt x="1342653" y="258489"/>
                        <a:pt x="1148747" y="250836"/>
                      </a:cubicBezTo>
                      <a:cubicBezTo>
                        <a:pt x="954842" y="243183"/>
                        <a:pt x="695422" y="258513"/>
                        <a:pt x="557644" y="250836"/>
                      </a:cubicBezTo>
                      <a:cubicBezTo>
                        <a:pt x="419866" y="243159"/>
                        <a:pt x="139903" y="246146"/>
                        <a:pt x="0" y="250836"/>
                      </a:cubicBezTo>
                      <a:cubicBezTo>
                        <a:pt x="-10878" y="137148"/>
                        <a:pt x="8115" y="9457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ln w="3175">
                <a:noFill/>
              </a:ln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Bw 20</a:t>
          </a:r>
        </a:p>
      </xdr:txBody>
    </xdr:sp>
    <xdr:clientData/>
  </xdr:twoCellAnchor>
  <xdr:twoCellAnchor>
    <xdr:from>
      <xdr:col>4</xdr:col>
      <xdr:colOff>584152</xdr:colOff>
      <xdr:row>1</xdr:row>
      <xdr:rowOff>0</xdr:rowOff>
    </xdr:from>
    <xdr:to>
      <xdr:col>5</xdr:col>
      <xdr:colOff>33055</xdr:colOff>
      <xdr:row>2</xdr:row>
      <xdr:rowOff>1455</xdr:rowOff>
    </xdr:to>
    <xdr:sp macro="" textlink="">
      <xdr:nvSpPr>
        <xdr:cNvPr id="26" name="Rectangle 2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4333538" y="190500"/>
          <a:ext cx="721790" cy="252569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75000"/>
              </a:schemeClr>
            </a:gs>
          </a:gsLst>
          <a:lin ang="5400000" scaled="1"/>
          <a:tileRect/>
        </a:gradFill>
        <a:ln w="3175"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672932"/>
                    <a:gd name="connsiteY0" fmla="*/ 0 h 250836"/>
                    <a:gd name="connsiteX1" fmla="*/ 591103 w 1672932"/>
                    <a:gd name="connsiteY1" fmla="*/ 0 h 250836"/>
                    <a:gd name="connsiteX2" fmla="*/ 1165476 w 1672932"/>
                    <a:gd name="connsiteY2" fmla="*/ 0 h 250836"/>
                    <a:gd name="connsiteX3" fmla="*/ 1672932 w 1672932"/>
                    <a:gd name="connsiteY3" fmla="*/ 0 h 250836"/>
                    <a:gd name="connsiteX4" fmla="*/ 1672932 w 1672932"/>
                    <a:gd name="connsiteY4" fmla="*/ 250836 h 250836"/>
                    <a:gd name="connsiteX5" fmla="*/ 1148747 w 1672932"/>
                    <a:gd name="connsiteY5" fmla="*/ 250836 h 250836"/>
                    <a:gd name="connsiteX6" fmla="*/ 591103 w 1672932"/>
                    <a:gd name="connsiteY6" fmla="*/ 250836 h 250836"/>
                    <a:gd name="connsiteX7" fmla="*/ 0 w 1672932"/>
                    <a:gd name="connsiteY7" fmla="*/ 250836 h 250836"/>
                    <a:gd name="connsiteX8" fmla="*/ 0 w 1672932"/>
                    <a:gd name="connsiteY8" fmla="*/ 0 h 25083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672932" h="250836" fill="none" extrusionOk="0">
                      <a:moveTo>
                        <a:pt x="0" y="0"/>
                      </a:moveTo>
                      <a:cubicBezTo>
                        <a:pt x="188116" y="9293"/>
                        <a:pt x="453306" y="4280"/>
                        <a:pt x="591103" y="0"/>
                      </a:cubicBezTo>
                      <a:cubicBezTo>
                        <a:pt x="728900" y="-4280"/>
                        <a:pt x="1049044" y="8924"/>
                        <a:pt x="1165476" y="0"/>
                      </a:cubicBezTo>
                      <a:cubicBezTo>
                        <a:pt x="1281908" y="-8924"/>
                        <a:pt x="1460273" y="-4308"/>
                        <a:pt x="1672932" y="0"/>
                      </a:cubicBezTo>
                      <a:cubicBezTo>
                        <a:pt x="1674345" y="96037"/>
                        <a:pt x="1683683" y="170992"/>
                        <a:pt x="1672932" y="250836"/>
                      </a:cubicBezTo>
                      <a:cubicBezTo>
                        <a:pt x="1432881" y="249374"/>
                        <a:pt x="1321424" y="268884"/>
                        <a:pt x="1148747" y="250836"/>
                      </a:cubicBezTo>
                      <a:cubicBezTo>
                        <a:pt x="976070" y="232788"/>
                        <a:pt x="808532" y="255866"/>
                        <a:pt x="591103" y="250836"/>
                      </a:cubicBezTo>
                      <a:cubicBezTo>
                        <a:pt x="373674" y="245806"/>
                        <a:pt x="252669" y="238480"/>
                        <a:pt x="0" y="250836"/>
                      </a:cubicBezTo>
                      <a:cubicBezTo>
                        <a:pt x="2797" y="186319"/>
                        <a:pt x="-4645" y="91791"/>
                        <a:pt x="0" y="0"/>
                      </a:cubicBezTo>
                      <a:close/>
                    </a:path>
                    <a:path w="1672932" h="250836" stroke="0" extrusionOk="0">
                      <a:moveTo>
                        <a:pt x="0" y="0"/>
                      </a:moveTo>
                      <a:cubicBezTo>
                        <a:pt x="120509" y="-19469"/>
                        <a:pt x="405184" y="-26763"/>
                        <a:pt x="540915" y="0"/>
                      </a:cubicBezTo>
                      <a:cubicBezTo>
                        <a:pt x="676647" y="26763"/>
                        <a:pt x="858441" y="-8599"/>
                        <a:pt x="1048371" y="0"/>
                      </a:cubicBezTo>
                      <a:cubicBezTo>
                        <a:pt x="1238301" y="8599"/>
                        <a:pt x="1456240" y="2965"/>
                        <a:pt x="1672932" y="0"/>
                      </a:cubicBezTo>
                      <a:cubicBezTo>
                        <a:pt x="1681274" y="79328"/>
                        <a:pt x="1661979" y="126587"/>
                        <a:pt x="1672932" y="250836"/>
                      </a:cubicBezTo>
                      <a:cubicBezTo>
                        <a:pt x="1497203" y="241836"/>
                        <a:pt x="1342653" y="258489"/>
                        <a:pt x="1148747" y="250836"/>
                      </a:cubicBezTo>
                      <a:cubicBezTo>
                        <a:pt x="954842" y="243183"/>
                        <a:pt x="695422" y="258513"/>
                        <a:pt x="557644" y="250836"/>
                      </a:cubicBezTo>
                      <a:cubicBezTo>
                        <a:pt x="419866" y="243159"/>
                        <a:pt x="139903" y="246146"/>
                        <a:pt x="0" y="250836"/>
                      </a:cubicBezTo>
                      <a:cubicBezTo>
                        <a:pt x="-10878" y="137148"/>
                        <a:pt x="8115" y="9457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ln w="3175">
                <a:noFill/>
              </a:ln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Bw 25</a:t>
          </a:r>
        </a:p>
      </xdr:txBody>
    </xdr:sp>
    <xdr:clientData/>
  </xdr:twoCellAnchor>
  <xdr:twoCellAnchor>
    <xdr:from>
      <xdr:col>5</xdr:col>
      <xdr:colOff>61005</xdr:colOff>
      <xdr:row>1</xdr:row>
      <xdr:rowOff>0</xdr:rowOff>
    </xdr:from>
    <xdr:to>
      <xdr:col>5</xdr:col>
      <xdr:colOff>782795</xdr:colOff>
      <xdr:row>2</xdr:row>
      <xdr:rowOff>1455</xdr:rowOff>
    </xdr:to>
    <xdr:sp macro="" textlink="">
      <xdr:nvSpPr>
        <xdr:cNvPr id="27" name="Rectangl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5083278" y="190500"/>
          <a:ext cx="721790" cy="252569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75000"/>
              </a:schemeClr>
            </a:gs>
          </a:gsLst>
          <a:lin ang="5400000" scaled="1"/>
          <a:tileRect/>
        </a:gradFill>
        <a:ln w="3175"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672932"/>
                    <a:gd name="connsiteY0" fmla="*/ 0 h 250836"/>
                    <a:gd name="connsiteX1" fmla="*/ 591103 w 1672932"/>
                    <a:gd name="connsiteY1" fmla="*/ 0 h 250836"/>
                    <a:gd name="connsiteX2" fmla="*/ 1165476 w 1672932"/>
                    <a:gd name="connsiteY2" fmla="*/ 0 h 250836"/>
                    <a:gd name="connsiteX3" fmla="*/ 1672932 w 1672932"/>
                    <a:gd name="connsiteY3" fmla="*/ 0 h 250836"/>
                    <a:gd name="connsiteX4" fmla="*/ 1672932 w 1672932"/>
                    <a:gd name="connsiteY4" fmla="*/ 250836 h 250836"/>
                    <a:gd name="connsiteX5" fmla="*/ 1148747 w 1672932"/>
                    <a:gd name="connsiteY5" fmla="*/ 250836 h 250836"/>
                    <a:gd name="connsiteX6" fmla="*/ 591103 w 1672932"/>
                    <a:gd name="connsiteY6" fmla="*/ 250836 h 250836"/>
                    <a:gd name="connsiteX7" fmla="*/ 0 w 1672932"/>
                    <a:gd name="connsiteY7" fmla="*/ 250836 h 250836"/>
                    <a:gd name="connsiteX8" fmla="*/ 0 w 1672932"/>
                    <a:gd name="connsiteY8" fmla="*/ 0 h 25083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672932" h="250836" fill="none" extrusionOk="0">
                      <a:moveTo>
                        <a:pt x="0" y="0"/>
                      </a:moveTo>
                      <a:cubicBezTo>
                        <a:pt x="188116" y="9293"/>
                        <a:pt x="453306" y="4280"/>
                        <a:pt x="591103" y="0"/>
                      </a:cubicBezTo>
                      <a:cubicBezTo>
                        <a:pt x="728900" y="-4280"/>
                        <a:pt x="1049044" y="8924"/>
                        <a:pt x="1165476" y="0"/>
                      </a:cubicBezTo>
                      <a:cubicBezTo>
                        <a:pt x="1281908" y="-8924"/>
                        <a:pt x="1460273" y="-4308"/>
                        <a:pt x="1672932" y="0"/>
                      </a:cubicBezTo>
                      <a:cubicBezTo>
                        <a:pt x="1674345" y="96037"/>
                        <a:pt x="1683683" y="170992"/>
                        <a:pt x="1672932" y="250836"/>
                      </a:cubicBezTo>
                      <a:cubicBezTo>
                        <a:pt x="1432881" y="249374"/>
                        <a:pt x="1321424" y="268884"/>
                        <a:pt x="1148747" y="250836"/>
                      </a:cubicBezTo>
                      <a:cubicBezTo>
                        <a:pt x="976070" y="232788"/>
                        <a:pt x="808532" y="255866"/>
                        <a:pt x="591103" y="250836"/>
                      </a:cubicBezTo>
                      <a:cubicBezTo>
                        <a:pt x="373674" y="245806"/>
                        <a:pt x="252669" y="238480"/>
                        <a:pt x="0" y="250836"/>
                      </a:cubicBezTo>
                      <a:cubicBezTo>
                        <a:pt x="2797" y="186319"/>
                        <a:pt x="-4645" y="91791"/>
                        <a:pt x="0" y="0"/>
                      </a:cubicBezTo>
                      <a:close/>
                    </a:path>
                    <a:path w="1672932" h="250836" stroke="0" extrusionOk="0">
                      <a:moveTo>
                        <a:pt x="0" y="0"/>
                      </a:moveTo>
                      <a:cubicBezTo>
                        <a:pt x="120509" y="-19469"/>
                        <a:pt x="405184" y="-26763"/>
                        <a:pt x="540915" y="0"/>
                      </a:cubicBezTo>
                      <a:cubicBezTo>
                        <a:pt x="676647" y="26763"/>
                        <a:pt x="858441" y="-8599"/>
                        <a:pt x="1048371" y="0"/>
                      </a:cubicBezTo>
                      <a:cubicBezTo>
                        <a:pt x="1238301" y="8599"/>
                        <a:pt x="1456240" y="2965"/>
                        <a:pt x="1672932" y="0"/>
                      </a:cubicBezTo>
                      <a:cubicBezTo>
                        <a:pt x="1681274" y="79328"/>
                        <a:pt x="1661979" y="126587"/>
                        <a:pt x="1672932" y="250836"/>
                      </a:cubicBezTo>
                      <a:cubicBezTo>
                        <a:pt x="1497203" y="241836"/>
                        <a:pt x="1342653" y="258489"/>
                        <a:pt x="1148747" y="250836"/>
                      </a:cubicBezTo>
                      <a:cubicBezTo>
                        <a:pt x="954842" y="243183"/>
                        <a:pt x="695422" y="258513"/>
                        <a:pt x="557644" y="250836"/>
                      </a:cubicBezTo>
                      <a:cubicBezTo>
                        <a:pt x="419866" y="243159"/>
                        <a:pt x="139903" y="246146"/>
                        <a:pt x="0" y="250836"/>
                      </a:cubicBezTo>
                      <a:cubicBezTo>
                        <a:pt x="-10878" y="137148"/>
                        <a:pt x="8115" y="9457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ln w="3175">
                <a:noFill/>
              </a:ln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Bw 30</a:t>
          </a:r>
        </a:p>
      </xdr:txBody>
    </xdr:sp>
    <xdr:clientData/>
  </xdr:twoCellAnchor>
  <xdr:twoCellAnchor>
    <xdr:from>
      <xdr:col>5</xdr:col>
      <xdr:colOff>810746</xdr:colOff>
      <xdr:row>1</xdr:row>
      <xdr:rowOff>0</xdr:rowOff>
    </xdr:from>
    <xdr:to>
      <xdr:col>6</xdr:col>
      <xdr:colOff>683945</xdr:colOff>
      <xdr:row>2</xdr:row>
      <xdr:rowOff>1455</xdr:rowOff>
    </xdr:to>
    <xdr:sp macro="" textlink="">
      <xdr:nvSpPr>
        <xdr:cNvPr id="28" name="Rectangle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5833019" y="190500"/>
          <a:ext cx="721790" cy="252569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75000"/>
              </a:schemeClr>
            </a:gs>
          </a:gsLst>
          <a:lin ang="5400000" scaled="1"/>
          <a:tileRect/>
        </a:gradFill>
        <a:ln w="3175"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672932"/>
                    <a:gd name="connsiteY0" fmla="*/ 0 h 250836"/>
                    <a:gd name="connsiteX1" fmla="*/ 591103 w 1672932"/>
                    <a:gd name="connsiteY1" fmla="*/ 0 h 250836"/>
                    <a:gd name="connsiteX2" fmla="*/ 1165476 w 1672932"/>
                    <a:gd name="connsiteY2" fmla="*/ 0 h 250836"/>
                    <a:gd name="connsiteX3" fmla="*/ 1672932 w 1672932"/>
                    <a:gd name="connsiteY3" fmla="*/ 0 h 250836"/>
                    <a:gd name="connsiteX4" fmla="*/ 1672932 w 1672932"/>
                    <a:gd name="connsiteY4" fmla="*/ 250836 h 250836"/>
                    <a:gd name="connsiteX5" fmla="*/ 1148747 w 1672932"/>
                    <a:gd name="connsiteY5" fmla="*/ 250836 h 250836"/>
                    <a:gd name="connsiteX6" fmla="*/ 591103 w 1672932"/>
                    <a:gd name="connsiteY6" fmla="*/ 250836 h 250836"/>
                    <a:gd name="connsiteX7" fmla="*/ 0 w 1672932"/>
                    <a:gd name="connsiteY7" fmla="*/ 250836 h 250836"/>
                    <a:gd name="connsiteX8" fmla="*/ 0 w 1672932"/>
                    <a:gd name="connsiteY8" fmla="*/ 0 h 25083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672932" h="250836" fill="none" extrusionOk="0">
                      <a:moveTo>
                        <a:pt x="0" y="0"/>
                      </a:moveTo>
                      <a:cubicBezTo>
                        <a:pt x="188116" y="9293"/>
                        <a:pt x="453306" y="4280"/>
                        <a:pt x="591103" y="0"/>
                      </a:cubicBezTo>
                      <a:cubicBezTo>
                        <a:pt x="728900" y="-4280"/>
                        <a:pt x="1049044" y="8924"/>
                        <a:pt x="1165476" y="0"/>
                      </a:cubicBezTo>
                      <a:cubicBezTo>
                        <a:pt x="1281908" y="-8924"/>
                        <a:pt x="1460273" y="-4308"/>
                        <a:pt x="1672932" y="0"/>
                      </a:cubicBezTo>
                      <a:cubicBezTo>
                        <a:pt x="1674345" y="96037"/>
                        <a:pt x="1683683" y="170992"/>
                        <a:pt x="1672932" y="250836"/>
                      </a:cubicBezTo>
                      <a:cubicBezTo>
                        <a:pt x="1432881" y="249374"/>
                        <a:pt x="1321424" y="268884"/>
                        <a:pt x="1148747" y="250836"/>
                      </a:cubicBezTo>
                      <a:cubicBezTo>
                        <a:pt x="976070" y="232788"/>
                        <a:pt x="808532" y="255866"/>
                        <a:pt x="591103" y="250836"/>
                      </a:cubicBezTo>
                      <a:cubicBezTo>
                        <a:pt x="373674" y="245806"/>
                        <a:pt x="252669" y="238480"/>
                        <a:pt x="0" y="250836"/>
                      </a:cubicBezTo>
                      <a:cubicBezTo>
                        <a:pt x="2797" y="186319"/>
                        <a:pt x="-4645" y="91791"/>
                        <a:pt x="0" y="0"/>
                      </a:cubicBezTo>
                      <a:close/>
                    </a:path>
                    <a:path w="1672932" h="250836" stroke="0" extrusionOk="0">
                      <a:moveTo>
                        <a:pt x="0" y="0"/>
                      </a:moveTo>
                      <a:cubicBezTo>
                        <a:pt x="120509" y="-19469"/>
                        <a:pt x="405184" y="-26763"/>
                        <a:pt x="540915" y="0"/>
                      </a:cubicBezTo>
                      <a:cubicBezTo>
                        <a:pt x="676647" y="26763"/>
                        <a:pt x="858441" y="-8599"/>
                        <a:pt x="1048371" y="0"/>
                      </a:cubicBezTo>
                      <a:cubicBezTo>
                        <a:pt x="1238301" y="8599"/>
                        <a:pt x="1456240" y="2965"/>
                        <a:pt x="1672932" y="0"/>
                      </a:cubicBezTo>
                      <a:cubicBezTo>
                        <a:pt x="1681274" y="79328"/>
                        <a:pt x="1661979" y="126587"/>
                        <a:pt x="1672932" y="250836"/>
                      </a:cubicBezTo>
                      <a:cubicBezTo>
                        <a:pt x="1497203" y="241836"/>
                        <a:pt x="1342653" y="258489"/>
                        <a:pt x="1148747" y="250836"/>
                      </a:cubicBezTo>
                      <a:cubicBezTo>
                        <a:pt x="954842" y="243183"/>
                        <a:pt x="695422" y="258513"/>
                        <a:pt x="557644" y="250836"/>
                      </a:cubicBezTo>
                      <a:cubicBezTo>
                        <a:pt x="419866" y="243159"/>
                        <a:pt x="139903" y="246146"/>
                        <a:pt x="0" y="250836"/>
                      </a:cubicBezTo>
                      <a:cubicBezTo>
                        <a:pt x="-10878" y="137148"/>
                        <a:pt x="8115" y="9457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ln w="3175">
                <a:noFill/>
              </a:ln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Bw 40</a:t>
          </a:r>
        </a:p>
      </xdr:txBody>
    </xdr:sp>
    <xdr:clientData/>
  </xdr:twoCellAnchor>
  <xdr:twoCellAnchor>
    <xdr:from>
      <xdr:col>6</xdr:col>
      <xdr:colOff>711895</xdr:colOff>
      <xdr:row>1</xdr:row>
      <xdr:rowOff>0</xdr:rowOff>
    </xdr:from>
    <xdr:to>
      <xdr:col>7</xdr:col>
      <xdr:colOff>314662</xdr:colOff>
      <xdr:row>2</xdr:row>
      <xdr:rowOff>1455</xdr:rowOff>
    </xdr:to>
    <xdr:sp macro="" textlink="">
      <xdr:nvSpPr>
        <xdr:cNvPr id="29" name="Rectangle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6582759" y="190500"/>
          <a:ext cx="719789" cy="252569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75000"/>
              </a:schemeClr>
            </a:gs>
          </a:gsLst>
          <a:lin ang="5400000" scaled="1"/>
          <a:tileRect/>
        </a:gradFill>
        <a:ln w="3175"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672932"/>
                    <a:gd name="connsiteY0" fmla="*/ 0 h 250836"/>
                    <a:gd name="connsiteX1" fmla="*/ 591103 w 1672932"/>
                    <a:gd name="connsiteY1" fmla="*/ 0 h 250836"/>
                    <a:gd name="connsiteX2" fmla="*/ 1165476 w 1672932"/>
                    <a:gd name="connsiteY2" fmla="*/ 0 h 250836"/>
                    <a:gd name="connsiteX3" fmla="*/ 1672932 w 1672932"/>
                    <a:gd name="connsiteY3" fmla="*/ 0 h 250836"/>
                    <a:gd name="connsiteX4" fmla="*/ 1672932 w 1672932"/>
                    <a:gd name="connsiteY4" fmla="*/ 250836 h 250836"/>
                    <a:gd name="connsiteX5" fmla="*/ 1148747 w 1672932"/>
                    <a:gd name="connsiteY5" fmla="*/ 250836 h 250836"/>
                    <a:gd name="connsiteX6" fmla="*/ 591103 w 1672932"/>
                    <a:gd name="connsiteY6" fmla="*/ 250836 h 250836"/>
                    <a:gd name="connsiteX7" fmla="*/ 0 w 1672932"/>
                    <a:gd name="connsiteY7" fmla="*/ 250836 h 250836"/>
                    <a:gd name="connsiteX8" fmla="*/ 0 w 1672932"/>
                    <a:gd name="connsiteY8" fmla="*/ 0 h 25083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672932" h="250836" fill="none" extrusionOk="0">
                      <a:moveTo>
                        <a:pt x="0" y="0"/>
                      </a:moveTo>
                      <a:cubicBezTo>
                        <a:pt x="188116" y="9293"/>
                        <a:pt x="453306" y="4280"/>
                        <a:pt x="591103" y="0"/>
                      </a:cubicBezTo>
                      <a:cubicBezTo>
                        <a:pt x="728900" y="-4280"/>
                        <a:pt x="1049044" y="8924"/>
                        <a:pt x="1165476" y="0"/>
                      </a:cubicBezTo>
                      <a:cubicBezTo>
                        <a:pt x="1281908" y="-8924"/>
                        <a:pt x="1460273" y="-4308"/>
                        <a:pt x="1672932" y="0"/>
                      </a:cubicBezTo>
                      <a:cubicBezTo>
                        <a:pt x="1674345" y="96037"/>
                        <a:pt x="1683683" y="170992"/>
                        <a:pt x="1672932" y="250836"/>
                      </a:cubicBezTo>
                      <a:cubicBezTo>
                        <a:pt x="1432881" y="249374"/>
                        <a:pt x="1321424" y="268884"/>
                        <a:pt x="1148747" y="250836"/>
                      </a:cubicBezTo>
                      <a:cubicBezTo>
                        <a:pt x="976070" y="232788"/>
                        <a:pt x="808532" y="255866"/>
                        <a:pt x="591103" y="250836"/>
                      </a:cubicBezTo>
                      <a:cubicBezTo>
                        <a:pt x="373674" y="245806"/>
                        <a:pt x="252669" y="238480"/>
                        <a:pt x="0" y="250836"/>
                      </a:cubicBezTo>
                      <a:cubicBezTo>
                        <a:pt x="2797" y="186319"/>
                        <a:pt x="-4645" y="91791"/>
                        <a:pt x="0" y="0"/>
                      </a:cubicBezTo>
                      <a:close/>
                    </a:path>
                    <a:path w="1672932" h="250836" stroke="0" extrusionOk="0">
                      <a:moveTo>
                        <a:pt x="0" y="0"/>
                      </a:moveTo>
                      <a:cubicBezTo>
                        <a:pt x="120509" y="-19469"/>
                        <a:pt x="405184" y="-26763"/>
                        <a:pt x="540915" y="0"/>
                      </a:cubicBezTo>
                      <a:cubicBezTo>
                        <a:pt x="676647" y="26763"/>
                        <a:pt x="858441" y="-8599"/>
                        <a:pt x="1048371" y="0"/>
                      </a:cubicBezTo>
                      <a:cubicBezTo>
                        <a:pt x="1238301" y="8599"/>
                        <a:pt x="1456240" y="2965"/>
                        <a:pt x="1672932" y="0"/>
                      </a:cubicBezTo>
                      <a:cubicBezTo>
                        <a:pt x="1681274" y="79328"/>
                        <a:pt x="1661979" y="126587"/>
                        <a:pt x="1672932" y="250836"/>
                      </a:cubicBezTo>
                      <a:cubicBezTo>
                        <a:pt x="1497203" y="241836"/>
                        <a:pt x="1342653" y="258489"/>
                        <a:pt x="1148747" y="250836"/>
                      </a:cubicBezTo>
                      <a:cubicBezTo>
                        <a:pt x="954842" y="243183"/>
                        <a:pt x="695422" y="258513"/>
                        <a:pt x="557644" y="250836"/>
                      </a:cubicBezTo>
                      <a:cubicBezTo>
                        <a:pt x="419866" y="243159"/>
                        <a:pt x="139903" y="246146"/>
                        <a:pt x="0" y="250836"/>
                      </a:cubicBezTo>
                      <a:cubicBezTo>
                        <a:pt x="-10878" y="137148"/>
                        <a:pt x="8115" y="9457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ln w="3175">
                <a:noFill/>
              </a:ln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MÍSULA</a:t>
          </a:r>
        </a:p>
      </xdr:txBody>
    </xdr:sp>
    <xdr:clientData/>
  </xdr:twoCellAnchor>
  <xdr:twoCellAnchor>
    <xdr:from>
      <xdr:col>7</xdr:col>
      <xdr:colOff>342614</xdr:colOff>
      <xdr:row>1</xdr:row>
      <xdr:rowOff>0</xdr:rowOff>
    </xdr:from>
    <xdr:to>
      <xdr:col>7</xdr:col>
      <xdr:colOff>1356446</xdr:colOff>
      <xdr:row>2</xdr:row>
      <xdr:rowOff>1455</xdr:rowOff>
    </xdr:to>
    <xdr:sp macro="" textlink="">
      <xdr:nvSpPr>
        <xdr:cNvPr id="30" name="Rectangle 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7330500" y="190500"/>
          <a:ext cx="1013832" cy="252569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75000"/>
              </a:schemeClr>
            </a:gs>
          </a:gsLst>
          <a:lin ang="5400000" scaled="1"/>
          <a:tileRect/>
        </a:gradFill>
        <a:ln w="3175"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672932"/>
                    <a:gd name="connsiteY0" fmla="*/ 0 h 250836"/>
                    <a:gd name="connsiteX1" fmla="*/ 591103 w 1672932"/>
                    <a:gd name="connsiteY1" fmla="*/ 0 h 250836"/>
                    <a:gd name="connsiteX2" fmla="*/ 1165476 w 1672932"/>
                    <a:gd name="connsiteY2" fmla="*/ 0 h 250836"/>
                    <a:gd name="connsiteX3" fmla="*/ 1672932 w 1672932"/>
                    <a:gd name="connsiteY3" fmla="*/ 0 h 250836"/>
                    <a:gd name="connsiteX4" fmla="*/ 1672932 w 1672932"/>
                    <a:gd name="connsiteY4" fmla="*/ 250836 h 250836"/>
                    <a:gd name="connsiteX5" fmla="*/ 1148747 w 1672932"/>
                    <a:gd name="connsiteY5" fmla="*/ 250836 h 250836"/>
                    <a:gd name="connsiteX6" fmla="*/ 591103 w 1672932"/>
                    <a:gd name="connsiteY6" fmla="*/ 250836 h 250836"/>
                    <a:gd name="connsiteX7" fmla="*/ 0 w 1672932"/>
                    <a:gd name="connsiteY7" fmla="*/ 250836 h 250836"/>
                    <a:gd name="connsiteX8" fmla="*/ 0 w 1672932"/>
                    <a:gd name="connsiteY8" fmla="*/ 0 h 25083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672932" h="250836" fill="none" extrusionOk="0">
                      <a:moveTo>
                        <a:pt x="0" y="0"/>
                      </a:moveTo>
                      <a:cubicBezTo>
                        <a:pt x="188116" y="9293"/>
                        <a:pt x="453306" y="4280"/>
                        <a:pt x="591103" y="0"/>
                      </a:cubicBezTo>
                      <a:cubicBezTo>
                        <a:pt x="728900" y="-4280"/>
                        <a:pt x="1049044" y="8924"/>
                        <a:pt x="1165476" y="0"/>
                      </a:cubicBezTo>
                      <a:cubicBezTo>
                        <a:pt x="1281908" y="-8924"/>
                        <a:pt x="1460273" y="-4308"/>
                        <a:pt x="1672932" y="0"/>
                      </a:cubicBezTo>
                      <a:cubicBezTo>
                        <a:pt x="1674345" y="96037"/>
                        <a:pt x="1683683" y="170992"/>
                        <a:pt x="1672932" y="250836"/>
                      </a:cubicBezTo>
                      <a:cubicBezTo>
                        <a:pt x="1432881" y="249374"/>
                        <a:pt x="1321424" y="268884"/>
                        <a:pt x="1148747" y="250836"/>
                      </a:cubicBezTo>
                      <a:cubicBezTo>
                        <a:pt x="976070" y="232788"/>
                        <a:pt x="808532" y="255866"/>
                        <a:pt x="591103" y="250836"/>
                      </a:cubicBezTo>
                      <a:cubicBezTo>
                        <a:pt x="373674" y="245806"/>
                        <a:pt x="252669" y="238480"/>
                        <a:pt x="0" y="250836"/>
                      </a:cubicBezTo>
                      <a:cubicBezTo>
                        <a:pt x="2797" y="186319"/>
                        <a:pt x="-4645" y="91791"/>
                        <a:pt x="0" y="0"/>
                      </a:cubicBezTo>
                      <a:close/>
                    </a:path>
                    <a:path w="1672932" h="250836" stroke="0" extrusionOk="0">
                      <a:moveTo>
                        <a:pt x="0" y="0"/>
                      </a:moveTo>
                      <a:cubicBezTo>
                        <a:pt x="120509" y="-19469"/>
                        <a:pt x="405184" y="-26763"/>
                        <a:pt x="540915" y="0"/>
                      </a:cubicBezTo>
                      <a:cubicBezTo>
                        <a:pt x="676647" y="26763"/>
                        <a:pt x="858441" y="-8599"/>
                        <a:pt x="1048371" y="0"/>
                      </a:cubicBezTo>
                      <a:cubicBezTo>
                        <a:pt x="1238301" y="8599"/>
                        <a:pt x="1456240" y="2965"/>
                        <a:pt x="1672932" y="0"/>
                      </a:cubicBezTo>
                      <a:cubicBezTo>
                        <a:pt x="1681274" y="79328"/>
                        <a:pt x="1661979" y="126587"/>
                        <a:pt x="1672932" y="250836"/>
                      </a:cubicBezTo>
                      <a:cubicBezTo>
                        <a:pt x="1497203" y="241836"/>
                        <a:pt x="1342653" y="258489"/>
                        <a:pt x="1148747" y="250836"/>
                      </a:cubicBezTo>
                      <a:cubicBezTo>
                        <a:pt x="954842" y="243183"/>
                        <a:pt x="695422" y="258513"/>
                        <a:pt x="557644" y="250836"/>
                      </a:cubicBezTo>
                      <a:cubicBezTo>
                        <a:pt x="419866" y="243159"/>
                        <a:pt x="139903" y="246146"/>
                        <a:pt x="0" y="250836"/>
                      </a:cubicBezTo>
                      <a:cubicBezTo>
                        <a:pt x="-10878" y="137148"/>
                        <a:pt x="8115" y="9457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ln w="3175">
                <a:noFill/>
              </a:ln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NEOPRENE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971550</xdr:colOff>
          <xdr:row>21</xdr:row>
          <xdr:rowOff>95250</xdr:rowOff>
        </xdr:from>
        <xdr:to>
          <xdr:col>7</xdr:col>
          <xdr:colOff>1295400</xdr:colOff>
          <xdr:row>23</xdr:row>
          <xdr:rowOff>9525</xdr:rowOff>
        </xdr:to>
        <xdr:sp macro="" textlink="">
          <xdr:nvSpPr>
            <xdr:cNvPr id="2053" name="CommandButton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971550</xdr:colOff>
          <xdr:row>23</xdr:row>
          <xdr:rowOff>76200</xdr:rowOff>
        </xdr:from>
        <xdr:to>
          <xdr:col>7</xdr:col>
          <xdr:colOff>1295400</xdr:colOff>
          <xdr:row>24</xdr:row>
          <xdr:rowOff>180975</xdr:rowOff>
        </xdr:to>
        <xdr:sp macro="" textlink="">
          <xdr:nvSpPr>
            <xdr:cNvPr id="2054" name="CommandButton2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971550</xdr:colOff>
          <xdr:row>27</xdr:row>
          <xdr:rowOff>47625</xdr:rowOff>
        </xdr:from>
        <xdr:to>
          <xdr:col>7</xdr:col>
          <xdr:colOff>1295400</xdr:colOff>
          <xdr:row>28</xdr:row>
          <xdr:rowOff>152400</xdr:rowOff>
        </xdr:to>
        <xdr:sp macro="" textlink="">
          <xdr:nvSpPr>
            <xdr:cNvPr id="2060" name="CommandButton3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971550</xdr:colOff>
          <xdr:row>25</xdr:row>
          <xdr:rowOff>66675</xdr:rowOff>
        </xdr:from>
        <xdr:to>
          <xdr:col>7</xdr:col>
          <xdr:colOff>1295400</xdr:colOff>
          <xdr:row>26</xdr:row>
          <xdr:rowOff>171450</xdr:rowOff>
        </xdr:to>
        <xdr:sp macro="" textlink="">
          <xdr:nvSpPr>
            <xdr:cNvPr id="2061" name="CommandButton4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18</xdr:col>
      <xdr:colOff>483610</xdr:colOff>
      <xdr:row>2</xdr:row>
      <xdr:rowOff>1455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381000" y="190500"/>
          <a:ext cx="7965065" cy="252569"/>
          <a:chOff x="387927" y="193964"/>
          <a:chExt cx="8124392" cy="250836"/>
        </a:xfrm>
      </xdr:grpSpPr>
      <xdr:sp macro="" textlink="">
        <xdr:nvSpPr>
          <xdr:cNvPr id="35" name="Rectangle 2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/>
        </xdr:nvSpPr>
        <xdr:spPr>
          <a:xfrm>
            <a:off x="1191749" y="193964"/>
            <a:ext cx="1673313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DIMENSIONAMENTO</a:t>
            </a:r>
          </a:p>
        </xdr:txBody>
      </xdr:sp>
      <xdr:sp macro="" textlink="">
        <xdr:nvSpPr>
          <xdr:cNvPr id="36" name="Rectangle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SpPr/>
        </xdr:nvSpPr>
        <xdr:spPr>
          <a:xfrm>
            <a:off x="387927" y="193964"/>
            <a:ext cx="775306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INÍCIO</a:t>
            </a:r>
          </a:p>
        </xdr:txBody>
      </xdr:sp>
      <xdr:sp macro="" textlink="">
        <xdr:nvSpPr>
          <xdr:cNvPr id="37" name="Rectangle 2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300-000025000000}"/>
              </a:ext>
            </a:extLst>
          </xdr:cNvPr>
          <xdr:cNvSpPr/>
        </xdr:nvSpPr>
        <xdr:spPr>
          <a:xfrm>
            <a:off x="2893578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accent1">
                  <a:satMod val="105000"/>
                  <a:tint val="67000"/>
                  <a:alpha val="90000"/>
                  <a:lumMod val="85000"/>
                  <a:lumOff val="15000"/>
                </a:schemeClr>
              </a:gs>
              <a:gs pos="100000">
                <a:schemeClr val="accent1">
                  <a:satMod val="109000"/>
                  <a:tint val="81000"/>
                  <a:lumMod val="95000"/>
                </a:schemeClr>
              </a:gs>
            </a:gsLst>
            <a:lin ang="5400000" scaled="1"/>
            <a:tileRect/>
          </a:gradFill>
          <a:ln w="9525">
            <a:solidFill>
              <a:srgbClr val="002060"/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rgbClr val="002060"/>
                </a:solidFill>
                <a:latin typeface="+mn-lt"/>
                <a:ea typeface="+mn-ea"/>
                <a:cs typeface="+mn-cs"/>
              </a:rPr>
              <a:t>Bw 15</a:t>
            </a:r>
          </a:p>
        </xdr:txBody>
      </xdr:sp>
      <xdr:sp macro="" textlink="">
        <xdr:nvSpPr>
          <xdr:cNvPr id="38" name="Rectangle 2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SpPr/>
        </xdr:nvSpPr>
        <xdr:spPr>
          <a:xfrm>
            <a:off x="3658482" y="193964"/>
            <a:ext cx="73340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20</a:t>
            </a:r>
          </a:p>
        </xdr:txBody>
      </xdr:sp>
      <xdr:sp macro="" textlink="">
        <xdr:nvSpPr>
          <xdr:cNvPr id="39" name="Rectangle 2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SpPr/>
        </xdr:nvSpPr>
        <xdr:spPr>
          <a:xfrm>
            <a:off x="4420406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25</a:t>
            </a:r>
          </a:p>
        </xdr:txBody>
      </xdr:sp>
      <xdr:sp macro="" textlink="">
        <xdr:nvSpPr>
          <xdr:cNvPr id="40" name="Rectangle 2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SpPr/>
        </xdr:nvSpPr>
        <xdr:spPr>
          <a:xfrm>
            <a:off x="5185310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30</a:t>
            </a:r>
          </a:p>
        </xdr:txBody>
      </xdr:sp>
      <xdr:sp macro="" textlink="">
        <xdr:nvSpPr>
          <xdr:cNvPr id="41" name="Rectangle 2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5950214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40</a:t>
            </a:r>
          </a:p>
        </xdr:txBody>
      </xdr:sp>
      <xdr:sp macro="" textlink="">
        <xdr:nvSpPr>
          <xdr:cNvPr id="42" name="Rectangle 2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6715118" y="193964"/>
            <a:ext cx="734347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MÍSULA</a:t>
            </a:r>
          </a:p>
        </xdr:txBody>
      </xdr:sp>
      <xdr:sp macro="" textlink="">
        <xdr:nvSpPr>
          <xdr:cNvPr id="43" name="Rectangle 22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7477982" y="193964"/>
            <a:ext cx="1034337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NEOPRENE</a:t>
            </a:r>
          </a:p>
        </xdr:txBody>
      </xdr:sp>
    </xdr:grpSp>
    <xdr:clientData/>
  </xdr:twoCellAnchor>
  <xdr:twoCellAnchor editAs="oneCell">
    <xdr:from>
      <xdr:col>1</xdr:col>
      <xdr:colOff>51956</xdr:colOff>
      <xdr:row>14</xdr:row>
      <xdr:rowOff>129887</xdr:rowOff>
    </xdr:from>
    <xdr:to>
      <xdr:col>9</xdr:col>
      <xdr:colOff>185828</xdr:colOff>
      <xdr:row>25</xdr:row>
      <xdr:rowOff>122387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956" y="2476501"/>
          <a:ext cx="3441644" cy="208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626045</xdr:colOff>
      <xdr:row>1</xdr:row>
      <xdr:rowOff>0</xdr:rowOff>
    </xdr:from>
    <xdr:to>
      <xdr:col>16</xdr:col>
      <xdr:colOff>598392</xdr:colOff>
      <xdr:row>2</xdr:row>
      <xdr:rowOff>1455</xdr:rowOff>
    </xdr:to>
    <xdr:sp macro="" textlink="">
      <xdr:nvSpPr>
        <xdr:cNvPr id="33" name="Rectangle 2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6715118" y="193964"/>
          <a:ext cx="734347" cy="250836"/>
        </a:xfrm>
        <a:prstGeom prst="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>
                <a:lumMod val="75000"/>
              </a:schemeClr>
            </a:gs>
          </a:gsLst>
          <a:lin ang="5400000" scaled="1"/>
          <a:tileRect/>
        </a:gradFill>
        <a:ln w="3175">
          <a:solidFill>
            <a:schemeClr val="bg1">
              <a:lumMod val="50000"/>
            </a:schemeClr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672932"/>
                    <a:gd name="connsiteY0" fmla="*/ 0 h 250836"/>
                    <a:gd name="connsiteX1" fmla="*/ 591103 w 1672932"/>
                    <a:gd name="connsiteY1" fmla="*/ 0 h 250836"/>
                    <a:gd name="connsiteX2" fmla="*/ 1165476 w 1672932"/>
                    <a:gd name="connsiteY2" fmla="*/ 0 h 250836"/>
                    <a:gd name="connsiteX3" fmla="*/ 1672932 w 1672932"/>
                    <a:gd name="connsiteY3" fmla="*/ 0 h 250836"/>
                    <a:gd name="connsiteX4" fmla="*/ 1672932 w 1672932"/>
                    <a:gd name="connsiteY4" fmla="*/ 250836 h 250836"/>
                    <a:gd name="connsiteX5" fmla="*/ 1148747 w 1672932"/>
                    <a:gd name="connsiteY5" fmla="*/ 250836 h 250836"/>
                    <a:gd name="connsiteX6" fmla="*/ 591103 w 1672932"/>
                    <a:gd name="connsiteY6" fmla="*/ 250836 h 250836"/>
                    <a:gd name="connsiteX7" fmla="*/ 0 w 1672932"/>
                    <a:gd name="connsiteY7" fmla="*/ 250836 h 250836"/>
                    <a:gd name="connsiteX8" fmla="*/ 0 w 1672932"/>
                    <a:gd name="connsiteY8" fmla="*/ 0 h 25083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672932" h="250836" fill="none" extrusionOk="0">
                      <a:moveTo>
                        <a:pt x="0" y="0"/>
                      </a:moveTo>
                      <a:cubicBezTo>
                        <a:pt x="188116" y="9293"/>
                        <a:pt x="453306" y="4280"/>
                        <a:pt x="591103" y="0"/>
                      </a:cubicBezTo>
                      <a:cubicBezTo>
                        <a:pt x="728900" y="-4280"/>
                        <a:pt x="1049044" y="8924"/>
                        <a:pt x="1165476" y="0"/>
                      </a:cubicBezTo>
                      <a:cubicBezTo>
                        <a:pt x="1281908" y="-8924"/>
                        <a:pt x="1460273" y="-4308"/>
                        <a:pt x="1672932" y="0"/>
                      </a:cubicBezTo>
                      <a:cubicBezTo>
                        <a:pt x="1674345" y="96037"/>
                        <a:pt x="1683683" y="170992"/>
                        <a:pt x="1672932" y="250836"/>
                      </a:cubicBezTo>
                      <a:cubicBezTo>
                        <a:pt x="1432881" y="249374"/>
                        <a:pt x="1321424" y="268884"/>
                        <a:pt x="1148747" y="250836"/>
                      </a:cubicBezTo>
                      <a:cubicBezTo>
                        <a:pt x="976070" y="232788"/>
                        <a:pt x="808532" y="255866"/>
                        <a:pt x="591103" y="250836"/>
                      </a:cubicBezTo>
                      <a:cubicBezTo>
                        <a:pt x="373674" y="245806"/>
                        <a:pt x="252669" y="238480"/>
                        <a:pt x="0" y="250836"/>
                      </a:cubicBezTo>
                      <a:cubicBezTo>
                        <a:pt x="2797" y="186319"/>
                        <a:pt x="-4645" y="91791"/>
                        <a:pt x="0" y="0"/>
                      </a:cubicBezTo>
                      <a:close/>
                    </a:path>
                    <a:path w="1672932" h="250836" stroke="0" extrusionOk="0">
                      <a:moveTo>
                        <a:pt x="0" y="0"/>
                      </a:moveTo>
                      <a:cubicBezTo>
                        <a:pt x="120509" y="-19469"/>
                        <a:pt x="405184" y="-26763"/>
                        <a:pt x="540915" y="0"/>
                      </a:cubicBezTo>
                      <a:cubicBezTo>
                        <a:pt x="676647" y="26763"/>
                        <a:pt x="858441" y="-8599"/>
                        <a:pt x="1048371" y="0"/>
                      </a:cubicBezTo>
                      <a:cubicBezTo>
                        <a:pt x="1238301" y="8599"/>
                        <a:pt x="1456240" y="2965"/>
                        <a:pt x="1672932" y="0"/>
                      </a:cubicBezTo>
                      <a:cubicBezTo>
                        <a:pt x="1681274" y="79328"/>
                        <a:pt x="1661979" y="126587"/>
                        <a:pt x="1672932" y="250836"/>
                      </a:cubicBezTo>
                      <a:cubicBezTo>
                        <a:pt x="1497203" y="241836"/>
                        <a:pt x="1342653" y="258489"/>
                        <a:pt x="1148747" y="250836"/>
                      </a:cubicBezTo>
                      <a:cubicBezTo>
                        <a:pt x="954842" y="243183"/>
                        <a:pt x="695422" y="258513"/>
                        <a:pt x="557644" y="250836"/>
                      </a:cubicBezTo>
                      <a:cubicBezTo>
                        <a:pt x="419866" y="243159"/>
                        <a:pt x="139903" y="246146"/>
                        <a:pt x="0" y="250836"/>
                      </a:cubicBezTo>
                      <a:cubicBezTo>
                        <a:pt x="-10878" y="137148"/>
                        <a:pt x="8115" y="94576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ln w="3175">
                <a:noFill/>
              </a:ln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MÍSULA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18</xdr:col>
      <xdr:colOff>442046</xdr:colOff>
      <xdr:row>2</xdr:row>
      <xdr:rowOff>1455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381000" y="190500"/>
          <a:ext cx="7958137" cy="252569"/>
          <a:chOff x="387927" y="193964"/>
          <a:chExt cx="8124392" cy="250836"/>
        </a:xfrm>
      </xdr:grpSpPr>
      <xdr:sp macro="" textlink="">
        <xdr:nvSpPr>
          <xdr:cNvPr id="26" name="Rectangle 2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1191749" y="193964"/>
            <a:ext cx="1673313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DIMENSIONAMENTO</a:t>
            </a:r>
          </a:p>
        </xdr:txBody>
      </xdr:sp>
      <xdr:sp macro="" textlink="">
        <xdr:nvSpPr>
          <xdr:cNvPr id="27" name="Rectangle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/>
        </xdr:nvSpPr>
        <xdr:spPr>
          <a:xfrm>
            <a:off x="387927" y="193964"/>
            <a:ext cx="775306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INÍCIO</a:t>
            </a:r>
          </a:p>
        </xdr:txBody>
      </xdr:sp>
      <xdr:sp macro="" textlink="">
        <xdr:nvSpPr>
          <xdr:cNvPr id="28" name="Rectangle 2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2893578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15</a:t>
            </a:r>
          </a:p>
        </xdr:txBody>
      </xdr:sp>
      <xdr:sp macro="" textlink="">
        <xdr:nvSpPr>
          <xdr:cNvPr id="29" name="Rectangle 2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/>
        </xdr:nvSpPr>
        <xdr:spPr>
          <a:xfrm>
            <a:off x="3658482" y="193964"/>
            <a:ext cx="733408" cy="250836"/>
          </a:xfrm>
          <a:prstGeom prst="rect">
            <a:avLst/>
          </a:prstGeom>
          <a:gradFill flip="none" rotWithShape="1">
            <a:gsLst>
              <a:gs pos="0">
                <a:schemeClr val="accent1">
                  <a:satMod val="105000"/>
                  <a:tint val="67000"/>
                  <a:alpha val="90000"/>
                  <a:lumMod val="85000"/>
                  <a:lumOff val="15000"/>
                </a:schemeClr>
              </a:gs>
              <a:gs pos="100000">
                <a:schemeClr val="accent1">
                  <a:satMod val="109000"/>
                  <a:tint val="81000"/>
                  <a:lumMod val="95000"/>
                </a:schemeClr>
              </a:gs>
            </a:gsLst>
            <a:lin ang="5400000" scaled="1"/>
            <a:tileRect/>
          </a:gradFill>
          <a:ln w="9525">
            <a:solidFill>
              <a:srgbClr val="002060"/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rgbClr val="002060"/>
                </a:solidFill>
                <a:latin typeface="+mn-lt"/>
                <a:ea typeface="+mn-ea"/>
                <a:cs typeface="+mn-cs"/>
              </a:rPr>
              <a:t>Bw 20</a:t>
            </a:r>
          </a:p>
        </xdr:txBody>
      </xdr:sp>
      <xdr:sp macro="" textlink="">
        <xdr:nvSpPr>
          <xdr:cNvPr id="30" name="Rectangle 2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4420406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25</a:t>
            </a:r>
          </a:p>
        </xdr:txBody>
      </xdr:sp>
      <xdr:sp macro="" textlink="">
        <xdr:nvSpPr>
          <xdr:cNvPr id="31" name="Rectangle 2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/>
        </xdr:nvSpPr>
        <xdr:spPr>
          <a:xfrm>
            <a:off x="5185310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30</a:t>
            </a:r>
          </a:p>
        </xdr:txBody>
      </xdr:sp>
      <xdr:sp macro="" textlink="">
        <xdr:nvSpPr>
          <xdr:cNvPr id="32" name="Rectangle 2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/>
        </xdr:nvSpPr>
        <xdr:spPr>
          <a:xfrm>
            <a:off x="5950214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40</a:t>
            </a:r>
          </a:p>
        </xdr:txBody>
      </xdr:sp>
      <xdr:sp macro="" textlink="">
        <xdr:nvSpPr>
          <xdr:cNvPr id="34" name="Rectangle 22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7477982" y="193964"/>
            <a:ext cx="1034337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NEOPRENE</a:t>
            </a:r>
          </a:p>
        </xdr:txBody>
      </xdr:sp>
    </xdr:grpSp>
    <xdr:clientData/>
  </xdr:twoCellAnchor>
  <xdr:twoCellAnchor editAs="oneCell">
    <xdr:from>
      <xdr:col>1</xdr:col>
      <xdr:colOff>17317</xdr:colOff>
      <xdr:row>16</xdr:row>
      <xdr:rowOff>155863</xdr:rowOff>
    </xdr:from>
    <xdr:to>
      <xdr:col>15</xdr:col>
      <xdr:colOff>516143</xdr:colOff>
      <xdr:row>27</xdr:row>
      <xdr:rowOff>148363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317" y="3264477"/>
          <a:ext cx="6092598" cy="2088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18</xdr:col>
      <xdr:colOff>442046</xdr:colOff>
      <xdr:row>2</xdr:row>
      <xdr:rowOff>1455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381000" y="190500"/>
          <a:ext cx="7958137" cy="252569"/>
          <a:chOff x="387927" y="193964"/>
          <a:chExt cx="8124392" cy="250836"/>
        </a:xfrm>
      </xdr:grpSpPr>
      <xdr:sp macro="" textlink="">
        <xdr:nvSpPr>
          <xdr:cNvPr id="33" name="Rectangle 2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21000000}"/>
              </a:ext>
            </a:extLst>
          </xdr:cNvPr>
          <xdr:cNvSpPr/>
        </xdr:nvSpPr>
        <xdr:spPr>
          <a:xfrm>
            <a:off x="6715118" y="193964"/>
            <a:ext cx="734347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MÍSULA</a:t>
            </a:r>
          </a:p>
        </xdr:txBody>
      </xdr:sp>
      <xdr:sp macro="" textlink="">
        <xdr:nvSpPr>
          <xdr:cNvPr id="26" name="Rectangle 2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>
          <a:xfrm>
            <a:off x="1191749" y="193964"/>
            <a:ext cx="1673313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DIMENSIONAMENTO</a:t>
            </a:r>
          </a:p>
        </xdr:txBody>
      </xdr:sp>
      <xdr:sp macro="" textlink="">
        <xdr:nvSpPr>
          <xdr:cNvPr id="27" name="Rectangle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387927" y="193964"/>
            <a:ext cx="775306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INÍCIO</a:t>
            </a:r>
          </a:p>
        </xdr:txBody>
      </xdr:sp>
      <xdr:sp macro="" textlink="">
        <xdr:nvSpPr>
          <xdr:cNvPr id="28" name="Rectangle 2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/>
        </xdr:nvSpPr>
        <xdr:spPr>
          <a:xfrm>
            <a:off x="2893578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15</a:t>
            </a:r>
          </a:p>
        </xdr:txBody>
      </xdr:sp>
      <xdr:sp macro="" textlink="">
        <xdr:nvSpPr>
          <xdr:cNvPr id="29" name="Rectangle 2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/>
        </xdr:nvSpPr>
        <xdr:spPr>
          <a:xfrm>
            <a:off x="3658482" y="193964"/>
            <a:ext cx="73340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20</a:t>
            </a:r>
          </a:p>
        </xdr:txBody>
      </xdr:sp>
      <xdr:sp macro="" textlink="">
        <xdr:nvSpPr>
          <xdr:cNvPr id="30" name="Rectangle 2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SpPr/>
        </xdr:nvSpPr>
        <xdr:spPr>
          <a:xfrm>
            <a:off x="4420406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accent1">
                  <a:satMod val="105000"/>
                  <a:tint val="67000"/>
                  <a:alpha val="90000"/>
                  <a:lumMod val="85000"/>
                  <a:lumOff val="15000"/>
                </a:schemeClr>
              </a:gs>
              <a:gs pos="100000">
                <a:schemeClr val="accent1">
                  <a:satMod val="109000"/>
                  <a:tint val="81000"/>
                  <a:lumMod val="95000"/>
                </a:schemeClr>
              </a:gs>
            </a:gsLst>
            <a:lin ang="5400000" scaled="1"/>
            <a:tileRect/>
          </a:gradFill>
          <a:ln w="9525">
            <a:solidFill>
              <a:srgbClr val="002060"/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rgbClr val="002060"/>
                </a:solidFill>
                <a:latin typeface="+mn-lt"/>
                <a:ea typeface="+mn-ea"/>
                <a:cs typeface="+mn-cs"/>
              </a:rPr>
              <a:t>Bw 25</a:t>
            </a:r>
          </a:p>
        </xdr:txBody>
      </xdr:sp>
      <xdr:sp macro="" textlink="">
        <xdr:nvSpPr>
          <xdr:cNvPr id="31" name="Rectangle 2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SpPr/>
        </xdr:nvSpPr>
        <xdr:spPr>
          <a:xfrm>
            <a:off x="5185310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30</a:t>
            </a:r>
          </a:p>
        </xdr:txBody>
      </xdr:sp>
      <xdr:sp macro="" textlink="">
        <xdr:nvSpPr>
          <xdr:cNvPr id="32" name="Rectangle 2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SpPr/>
        </xdr:nvSpPr>
        <xdr:spPr>
          <a:xfrm>
            <a:off x="5950214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40</a:t>
            </a:r>
          </a:p>
        </xdr:txBody>
      </xdr:sp>
      <xdr:sp macro="" textlink="">
        <xdr:nvSpPr>
          <xdr:cNvPr id="34" name="Rectangle 22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SpPr/>
        </xdr:nvSpPr>
        <xdr:spPr>
          <a:xfrm>
            <a:off x="7477982" y="193964"/>
            <a:ext cx="1034337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NEOPRENE</a:t>
            </a:r>
          </a:p>
        </xdr:txBody>
      </xdr:sp>
    </xdr:grpSp>
    <xdr:clientData/>
  </xdr:twoCellAnchor>
  <xdr:twoCellAnchor editAs="oneCell">
    <xdr:from>
      <xdr:col>1</xdr:col>
      <xdr:colOff>17318</xdr:colOff>
      <xdr:row>18</xdr:row>
      <xdr:rowOff>25978</xdr:rowOff>
    </xdr:from>
    <xdr:to>
      <xdr:col>15</xdr:col>
      <xdr:colOff>516144</xdr:colOff>
      <xdr:row>29</xdr:row>
      <xdr:rowOff>18478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318" y="3515592"/>
          <a:ext cx="6092598" cy="2088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18</xdr:col>
      <xdr:colOff>442046</xdr:colOff>
      <xdr:row>2</xdr:row>
      <xdr:rowOff>1455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381000" y="190500"/>
          <a:ext cx="7958137" cy="252569"/>
          <a:chOff x="387927" y="193964"/>
          <a:chExt cx="8124392" cy="250836"/>
        </a:xfrm>
      </xdr:grpSpPr>
      <xdr:sp macro="" textlink="">
        <xdr:nvSpPr>
          <xdr:cNvPr id="25" name="Rectangle 2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SpPr/>
        </xdr:nvSpPr>
        <xdr:spPr>
          <a:xfrm>
            <a:off x="1191749" y="193964"/>
            <a:ext cx="1673313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DIMENSIONAMENTO</a:t>
            </a:r>
          </a:p>
        </xdr:txBody>
      </xdr:sp>
      <xdr:sp macro="" textlink="">
        <xdr:nvSpPr>
          <xdr:cNvPr id="26" name="Rectangle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SpPr/>
        </xdr:nvSpPr>
        <xdr:spPr>
          <a:xfrm>
            <a:off x="387927" y="193964"/>
            <a:ext cx="775306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INÍCIO</a:t>
            </a:r>
          </a:p>
        </xdr:txBody>
      </xdr:sp>
      <xdr:sp macro="" textlink="">
        <xdr:nvSpPr>
          <xdr:cNvPr id="27" name="Rectangle 2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/>
        </xdr:nvSpPr>
        <xdr:spPr>
          <a:xfrm>
            <a:off x="2893578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15</a:t>
            </a:r>
          </a:p>
        </xdr:txBody>
      </xdr:sp>
      <xdr:sp macro="" textlink="">
        <xdr:nvSpPr>
          <xdr:cNvPr id="28" name="Rectangle 2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SpPr/>
        </xdr:nvSpPr>
        <xdr:spPr>
          <a:xfrm>
            <a:off x="3658482" y="193964"/>
            <a:ext cx="73340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20</a:t>
            </a:r>
          </a:p>
        </xdr:txBody>
      </xdr:sp>
      <xdr:sp macro="" textlink="">
        <xdr:nvSpPr>
          <xdr:cNvPr id="29" name="Rectangle 2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SpPr/>
        </xdr:nvSpPr>
        <xdr:spPr>
          <a:xfrm>
            <a:off x="4420406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25</a:t>
            </a:r>
          </a:p>
        </xdr:txBody>
      </xdr:sp>
      <xdr:sp macro="" textlink="">
        <xdr:nvSpPr>
          <xdr:cNvPr id="30" name="Rectangle 2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SpPr/>
        </xdr:nvSpPr>
        <xdr:spPr>
          <a:xfrm>
            <a:off x="5185310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accent1">
                  <a:satMod val="105000"/>
                  <a:tint val="67000"/>
                  <a:alpha val="90000"/>
                  <a:lumMod val="85000"/>
                  <a:lumOff val="15000"/>
                </a:schemeClr>
              </a:gs>
              <a:gs pos="100000">
                <a:schemeClr val="accent1">
                  <a:satMod val="109000"/>
                  <a:tint val="81000"/>
                  <a:lumMod val="95000"/>
                </a:schemeClr>
              </a:gs>
            </a:gsLst>
            <a:lin ang="5400000" scaled="1"/>
            <a:tileRect/>
          </a:gradFill>
          <a:ln w="9525">
            <a:solidFill>
              <a:srgbClr val="002060"/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rgbClr val="002060"/>
                </a:solidFill>
                <a:latin typeface="+mn-lt"/>
                <a:ea typeface="+mn-ea"/>
                <a:cs typeface="+mn-cs"/>
              </a:rPr>
              <a:t>Bw 30</a:t>
            </a:r>
          </a:p>
        </xdr:txBody>
      </xdr:sp>
      <xdr:sp macro="" textlink="">
        <xdr:nvSpPr>
          <xdr:cNvPr id="31" name="Rectangle 2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/>
        </xdr:nvSpPr>
        <xdr:spPr>
          <a:xfrm>
            <a:off x="5950214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40</a:t>
            </a:r>
          </a:p>
        </xdr:txBody>
      </xdr:sp>
      <xdr:sp macro="" textlink="">
        <xdr:nvSpPr>
          <xdr:cNvPr id="32" name="Rectangle 2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SpPr/>
        </xdr:nvSpPr>
        <xdr:spPr>
          <a:xfrm>
            <a:off x="6715118" y="193964"/>
            <a:ext cx="734347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MÍSULA</a:t>
            </a:r>
          </a:p>
        </xdr:txBody>
      </xdr:sp>
      <xdr:sp macro="" textlink="">
        <xdr:nvSpPr>
          <xdr:cNvPr id="33" name="Rectangle 22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SpPr/>
        </xdr:nvSpPr>
        <xdr:spPr>
          <a:xfrm>
            <a:off x="7477982" y="193964"/>
            <a:ext cx="1034337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NEOPRENE</a:t>
            </a:r>
          </a:p>
        </xdr:txBody>
      </xdr:sp>
    </xdr:grpSp>
    <xdr:clientData/>
  </xdr:twoCellAnchor>
  <xdr:twoCellAnchor editAs="oneCell">
    <xdr:from>
      <xdr:col>1</xdr:col>
      <xdr:colOff>1</xdr:colOff>
      <xdr:row>15</xdr:row>
      <xdr:rowOff>129887</xdr:rowOff>
    </xdr:from>
    <xdr:to>
      <xdr:col>11</xdr:col>
      <xdr:colOff>161176</xdr:colOff>
      <xdr:row>26</xdr:row>
      <xdr:rowOff>122387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1" y="3048001"/>
          <a:ext cx="4230947" cy="2088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18</xdr:col>
      <xdr:colOff>442046</xdr:colOff>
      <xdr:row>2</xdr:row>
      <xdr:rowOff>1455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381000" y="190500"/>
          <a:ext cx="7958137" cy="252569"/>
          <a:chOff x="387927" y="193964"/>
          <a:chExt cx="8124392" cy="250836"/>
        </a:xfrm>
      </xdr:grpSpPr>
      <xdr:sp macro="" textlink="">
        <xdr:nvSpPr>
          <xdr:cNvPr id="25" name="Rectangle 2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/>
        </xdr:nvSpPr>
        <xdr:spPr>
          <a:xfrm>
            <a:off x="1191749" y="193964"/>
            <a:ext cx="1673313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DIMENSIONAMENTO</a:t>
            </a:r>
          </a:p>
        </xdr:txBody>
      </xdr:sp>
      <xdr:sp macro="" textlink="">
        <xdr:nvSpPr>
          <xdr:cNvPr id="26" name="Rectangle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SpPr/>
        </xdr:nvSpPr>
        <xdr:spPr>
          <a:xfrm>
            <a:off x="387927" y="193964"/>
            <a:ext cx="775306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INÍCIO</a:t>
            </a:r>
          </a:p>
        </xdr:txBody>
      </xdr:sp>
      <xdr:sp macro="" textlink="">
        <xdr:nvSpPr>
          <xdr:cNvPr id="27" name="Rectangle 2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SpPr/>
        </xdr:nvSpPr>
        <xdr:spPr>
          <a:xfrm>
            <a:off x="2893578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15</a:t>
            </a:r>
          </a:p>
        </xdr:txBody>
      </xdr:sp>
      <xdr:sp macro="" textlink="">
        <xdr:nvSpPr>
          <xdr:cNvPr id="28" name="Rectangle 2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/>
        </xdr:nvSpPr>
        <xdr:spPr>
          <a:xfrm>
            <a:off x="3658482" y="193964"/>
            <a:ext cx="73340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20</a:t>
            </a:r>
          </a:p>
        </xdr:txBody>
      </xdr:sp>
      <xdr:sp macro="" textlink="">
        <xdr:nvSpPr>
          <xdr:cNvPr id="29" name="Rectangle 2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SpPr/>
        </xdr:nvSpPr>
        <xdr:spPr>
          <a:xfrm>
            <a:off x="4420406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25</a:t>
            </a:r>
          </a:p>
        </xdr:txBody>
      </xdr:sp>
      <xdr:sp macro="" textlink="">
        <xdr:nvSpPr>
          <xdr:cNvPr id="30" name="Rectangle 2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/>
        </xdr:nvSpPr>
        <xdr:spPr>
          <a:xfrm>
            <a:off x="5185310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30</a:t>
            </a:r>
          </a:p>
        </xdr:txBody>
      </xdr:sp>
      <xdr:sp macro="" textlink="">
        <xdr:nvSpPr>
          <xdr:cNvPr id="31" name="Rectangle 2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/>
        </xdr:nvSpPr>
        <xdr:spPr>
          <a:xfrm>
            <a:off x="5950214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accent1">
                  <a:satMod val="105000"/>
                  <a:tint val="67000"/>
                  <a:alpha val="90000"/>
                  <a:lumMod val="85000"/>
                  <a:lumOff val="15000"/>
                </a:schemeClr>
              </a:gs>
              <a:gs pos="100000">
                <a:schemeClr val="accent1">
                  <a:satMod val="109000"/>
                  <a:tint val="81000"/>
                  <a:lumMod val="95000"/>
                </a:schemeClr>
              </a:gs>
            </a:gsLst>
            <a:lin ang="5400000" scaled="1"/>
            <a:tileRect/>
          </a:gradFill>
          <a:ln w="9525">
            <a:solidFill>
              <a:srgbClr val="002060"/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rgbClr val="002060"/>
                </a:solidFill>
                <a:latin typeface="+mn-lt"/>
                <a:ea typeface="+mn-ea"/>
                <a:cs typeface="+mn-cs"/>
              </a:rPr>
              <a:t>Bw 40</a:t>
            </a:r>
          </a:p>
        </xdr:txBody>
      </xdr:sp>
      <xdr:sp macro="" textlink="">
        <xdr:nvSpPr>
          <xdr:cNvPr id="32" name="Rectangle 2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SpPr/>
        </xdr:nvSpPr>
        <xdr:spPr>
          <a:xfrm>
            <a:off x="6715118" y="193964"/>
            <a:ext cx="734347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MÍSULA</a:t>
            </a:r>
          </a:p>
        </xdr:txBody>
      </xdr:sp>
      <xdr:sp macro="" textlink="">
        <xdr:nvSpPr>
          <xdr:cNvPr id="33" name="Rectangle 22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SpPr/>
        </xdr:nvSpPr>
        <xdr:spPr>
          <a:xfrm>
            <a:off x="7477982" y="193964"/>
            <a:ext cx="1034337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NEOPRENE</a:t>
            </a:r>
          </a:p>
        </xdr:txBody>
      </xdr:sp>
    </xdr:grpSp>
    <xdr:clientData/>
  </xdr:twoCellAnchor>
  <xdr:twoCellAnchor editAs="oneCell">
    <xdr:from>
      <xdr:col>1</xdr:col>
      <xdr:colOff>1</xdr:colOff>
      <xdr:row>15</xdr:row>
      <xdr:rowOff>164523</xdr:rowOff>
    </xdr:from>
    <xdr:to>
      <xdr:col>11</xdr:col>
      <xdr:colOff>161176</xdr:colOff>
      <xdr:row>26</xdr:row>
      <xdr:rowOff>157023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1" y="3082637"/>
          <a:ext cx="4230947" cy="2088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18</xdr:col>
      <xdr:colOff>442046</xdr:colOff>
      <xdr:row>2</xdr:row>
      <xdr:rowOff>1455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381000" y="190500"/>
          <a:ext cx="7958137" cy="252569"/>
          <a:chOff x="387927" y="193964"/>
          <a:chExt cx="8124392" cy="250836"/>
        </a:xfrm>
      </xdr:grpSpPr>
      <xdr:sp macro="" textlink="">
        <xdr:nvSpPr>
          <xdr:cNvPr id="24" name="Rectangle 2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800-000018000000}"/>
              </a:ext>
            </a:extLst>
          </xdr:cNvPr>
          <xdr:cNvSpPr/>
        </xdr:nvSpPr>
        <xdr:spPr>
          <a:xfrm>
            <a:off x="1191749" y="193964"/>
            <a:ext cx="1673313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DIMENSIONAMENTO</a:t>
            </a:r>
          </a:p>
        </xdr:txBody>
      </xdr:sp>
      <xdr:sp macro="" textlink="">
        <xdr:nvSpPr>
          <xdr:cNvPr id="25" name="Rectangle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387927" y="193964"/>
            <a:ext cx="775306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INÍCIO</a:t>
            </a:r>
          </a:p>
        </xdr:txBody>
      </xdr:sp>
      <xdr:sp macro="" textlink="">
        <xdr:nvSpPr>
          <xdr:cNvPr id="26" name="Rectangle 2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2893578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15</a:t>
            </a:r>
          </a:p>
        </xdr:txBody>
      </xdr:sp>
      <xdr:sp macro="" textlink="">
        <xdr:nvSpPr>
          <xdr:cNvPr id="27" name="Rectangle 2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800-00001B000000}"/>
              </a:ext>
            </a:extLst>
          </xdr:cNvPr>
          <xdr:cNvSpPr/>
        </xdr:nvSpPr>
        <xdr:spPr>
          <a:xfrm>
            <a:off x="3658482" y="193964"/>
            <a:ext cx="73340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20</a:t>
            </a:r>
          </a:p>
        </xdr:txBody>
      </xdr:sp>
      <xdr:sp macro="" textlink="">
        <xdr:nvSpPr>
          <xdr:cNvPr id="28" name="Rectangle 2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800-00001C000000}"/>
              </a:ext>
            </a:extLst>
          </xdr:cNvPr>
          <xdr:cNvSpPr/>
        </xdr:nvSpPr>
        <xdr:spPr>
          <a:xfrm>
            <a:off x="4420406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25</a:t>
            </a:r>
          </a:p>
        </xdr:txBody>
      </xdr:sp>
      <xdr:sp macro="" textlink="">
        <xdr:nvSpPr>
          <xdr:cNvPr id="29" name="Rectangle 2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800-00001D000000}"/>
              </a:ext>
            </a:extLst>
          </xdr:cNvPr>
          <xdr:cNvSpPr/>
        </xdr:nvSpPr>
        <xdr:spPr>
          <a:xfrm>
            <a:off x="5185310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30</a:t>
            </a:r>
          </a:p>
        </xdr:txBody>
      </xdr:sp>
      <xdr:sp macro="" textlink="">
        <xdr:nvSpPr>
          <xdr:cNvPr id="30" name="Rectangle 2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800-00001E000000}"/>
              </a:ext>
            </a:extLst>
          </xdr:cNvPr>
          <xdr:cNvSpPr/>
        </xdr:nvSpPr>
        <xdr:spPr>
          <a:xfrm>
            <a:off x="5950214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40</a:t>
            </a:r>
          </a:p>
        </xdr:txBody>
      </xdr:sp>
      <xdr:sp macro="" textlink="">
        <xdr:nvSpPr>
          <xdr:cNvPr id="31" name="Rectangle 2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800-00001F000000}"/>
              </a:ext>
            </a:extLst>
          </xdr:cNvPr>
          <xdr:cNvSpPr/>
        </xdr:nvSpPr>
        <xdr:spPr>
          <a:xfrm>
            <a:off x="6715118" y="193964"/>
            <a:ext cx="734347" cy="250836"/>
          </a:xfrm>
          <a:prstGeom prst="rect">
            <a:avLst/>
          </a:prstGeom>
          <a:gradFill flip="none" rotWithShape="1">
            <a:gsLst>
              <a:gs pos="0">
                <a:schemeClr val="accent1">
                  <a:satMod val="105000"/>
                  <a:tint val="67000"/>
                  <a:alpha val="90000"/>
                  <a:lumMod val="85000"/>
                  <a:lumOff val="15000"/>
                </a:schemeClr>
              </a:gs>
              <a:gs pos="100000">
                <a:schemeClr val="accent1">
                  <a:satMod val="109000"/>
                  <a:tint val="81000"/>
                  <a:lumMod val="95000"/>
                </a:schemeClr>
              </a:gs>
            </a:gsLst>
            <a:lin ang="5400000" scaled="1"/>
            <a:tileRect/>
          </a:gradFill>
          <a:ln w="9525">
            <a:solidFill>
              <a:srgbClr val="002060"/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rgbClr val="002060"/>
                </a:solidFill>
                <a:latin typeface="+mn-lt"/>
                <a:ea typeface="+mn-ea"/>
                <a:cs typeface="+mn-cs"/>
              </a:rPr>
              <a:t>MÍSULA</a:t>
            </a:r>
          </a:p>
        </xdr:txBody>
      </xdr:sp>
      <xdr:sp macro="" textlink="">
        <xdr:nvSpPr>
          <xdr:cNvPr id="32" name="Rectangle 22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800-000020000000}"/>
              </a:ext>
            </a:extLst>
          </xdr:cNvPr>
          <xdr:cNvSpPr/>
        </xdr:nvSpPr>
        <xdr:spPr>
          <a:xfrm>
            <a:off x="7477982" y="193964"/>
            <a:ext cx="1034337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NEOPRENE</a:t>
            </a:r>
          </a:p>
        </xdr:txBody>
      </xdr:sp>
    </xdr:grpSp>
    <xdr:clientData/>
  </xdr:twoCellAnchor>
  <xdr:twoCellAnchor editAs="oneCell">
    <xdr:from>
      <xdr:col>4</xdr:col>
      <xdr:colOff>216478</xdr:colOff>
      <xdr:row>6</xdr:row>
      <xdr:rowOff>167739</xdr:rowOff>
    </xdr:from>
    <xdr:to>
      <xdr:col>16</xdr:col>
      <xdr:colOff>60614</xdr:colOff>
      <xdr:row>33</xdr:row>
      <xdr:rowOff>140093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00251" y="1371353"/>
          <a:ext cx="4779818" cy="511585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</xdr:row>
          <xdr:rowOff>152400</xdr:rowOff>
        </xdr:from>
        <xdr:to>
          <xdr:col>5</xdr:col>
          <xdr:colOff>333375</xdr:colOff>
          <xdr:row>15</xdr:row>
          <xdr:rowOff>38100</xdr:rowOff>
        </xdr:to>
        <xdr:sp macro="" textlink="">
          <xdr:nvSpPr>
            <xdr:cNvPr id="9217" name="Image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17</xdr:col>
      <xdr:colOff>525174</xdr:colOff>
      <xdr:row>2</xdr:row>
      <xdr:rowOff>1455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381000" y="190500"/>
          <a:ext cx="7971992" cy="252569"/>
          <a:chOff x="387927" y="193964"/>
          <a:chExt cx="8124392" cy="250836"/>
        </a:xfrm>
      </xdr:grpSpPr>
      <xdr:sp macro="" textlink="">
        <xdr:nvSpPr>
          <xdr:cNvPr id="24" name="Rectangle 2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900-000018000000}"/>
              </a:ext>
            </a:extLst>
          </xdr:cNvPr>
          <xdr:cNvSpPr/>
        </xdr:nvSpPr>
        <xdr:spPr>
          <a:xfrm>
            <a:off x="1191749" y="193964"/>
            <a:ext cx="1673313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DIMENSIONAMENTO</a:t>
            </a:r>
          </a:p>
        </xdr:txBody>
      </xdr:sp>
      <xdr:sp macro="" textlink="">
        <xdr:nvSpPr>
          <xdr:cNvPr id="25" name="Rectangle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87927" y="193964"/>
            <a:ext cx="775306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INÍCIO</a:t>
            </a:r>
          </a:p>
        </xdr:txBody>
      </xdr:sp>
      <xdr:sp macro="" textlink="">
        <xdr:nvSpPr>
          <xdr:cNvPr id="26" name="Rectangle 2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SpPr/>
        </xdr:nvSpPr>
        <xdr:spPr>
          <a:xfrm>
            <a:off x="2893578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15</a:t>
            </a:r>
          </a:p>
        </xdr:txBody>
      </xdr:sp>
      <xdr:sp macro="" textlink="">
        <xdr:nvSpPr>
          <xdr:cNvPr id="27" name="Rectangle 2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900-00001B000000}"/>
              </a:ext>
            </a:extLst>
          </xdr:cNvPr>
          <xdr:cNvSpPr/>
        </xdr:nvSpPr>
        <xdr:spPr>
          <a:xfrm>
            <a:off x="3658482" y="193964"/>
            <a:ext cx="73340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20</a:t>
            </a:r>
          </a:p>
        </xdr:txBody>
      </xdr:sp>
      <xdr:sp macro="" textlink="">
        <xdr:nvSpPr>
          <xdr:cNvPr id="28" name="Rectangle 2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4420406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25</a:t>
            </a:r>
          </a:p>
        </xdr:txBody>
      </xdr:sp>
      <xdr:sp macro="" textlink="">
        <xdr:nvSpPr>
          <xdr:cNvPr id="29" name="Rectangle 2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5185310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30</a:t>
            </a:r>
          </a:p>
        </xdr:txBody>
      </xdr:sp>
      <xdr:sp macro="" textlink="">
        <xdr:nvSpPr>
          <xdr:cNvPr id="30" name="Rectangle 2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SpPr/>
        </xdr:nvSpPr>
        <xdr:spPr>
          <a:xfrm>
            <a:off x="5950214" y="193964"/>
            <a:ext cx="736388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Bw 40</a:t>
            </a:r>
          </a:p>
        </xdr:txBody>
      </xdr:sp>
      <xdr:sp macro="" textlink="">
        <xdr:nvSpPr>
          <xdr:cNvPr id="31" name="Rectangle 2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6715118" y="193964"/>
            <a:ext cx="734347" cy="250836"/>
          </a:xfrm>
          <a:prstGeom prst="rect">
            <a:avLst/>
          </a:prstGeom>
          <a:gradFill flip="none" rotWithShape="1">
            <a:gsLst>
              <a:gs pos="0">
                <a:schemeClr val="bg1">
                  <a:lumMod val="85000"/>
                </a:schemeClr>
              </a:gs>
              <a:gs pos="100000">
                <a:schemeClr val="bg1">
                  <a:lumMod val="75000"/>
                </a:schemeClr>
              </a:gs>
            </a:gsLst>
            <a:lin ang="5400000" scaled="1"/>
            <a:tileRect/>
          </a:gradFill>
          <a:ln w="3175">
            <a:solidFill>
              <a:schemeClr val="bg1">
                <a:lumMod val="50000"/>
              </a:schemeClr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MÍSULA</a:t>
            </a:r>
          </a:p>
        </xdr:txBody>
      </xdr:sp>
      <xdr:sp macro="" textlink="">
        <xdr:nvSpPr>
          <xdr:cNvPr id="32" name="Rectangle 22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SpPr/>
        </xdr:nvSpPr>
        <xdr:spPr>
          <a:xfrm>
            <a:off x="7477982" y="193964"/>
            <a:ext cx="1034337" cy="250836"/>
          </a:xfrm>
          <a:prstGeom prst="rect">
            <a:avLst/>
          </a:prstGeom>
          <a:gradFill flip="none" rotWithShape="1">
            <a:gsLst>
              <a:gs pos="0">
                <a:schemeClr val="accent1">
                  <a:satMod val="105000"/>
                  <a:tint val="67000"/>
                  <a:alpha val="90000"/>
                  <a:lumMod val="85000"/>
                  <a:lumOff val="15000"/>
                </a:schemeClr>
              </a:gs>
              <a:gs pos="100000">
                <a:schemeClr val="accent1">
                  <a:satMod val="109000"/>
                  <a:tint val="81000"/>
                  <a:lumMod val="95000"/>
                </a:schemeClr>
              </a:gs>
            </a:gsLst>
            <a:lin ang="5400000" scaled="1"/>
            <a:tileRect/>
          </a:gradFill>
          <a:ln w="9525">
            <a:solidFill>
              <a:srgbClr val="002060"/>
            </a:solidFill>
            <a:prstDash val="soli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672932"/>
                      <a:gd name="connsiteY0" fmla="*/ 0 h 250836"/>
                      <a:gd name="connsiteX1" fmla="*/ 591103 w 1672932"/>
                      <a:gd name="connsiteY1" fmla="*/ 0 h 250836"/>
                      <a:gd name="connsiteX2" fmla="*/ 1165476 w 1672932"/>
                      <a:gd name="connsiteY2" fmla="*/ 0 h 250836"/>
                      <a:gd name="connsiteX3" fmla="*/ 1672932 w 1672932"/>
                      <a:gd name="connsiteY3" fmla="*/ 0 h 250836"/>
                      <a:gd name="connsiteX4" fmla="*/ 1672932 w 1672932"/>
                      <a:gd name="connsiteY4" fmla="*/ 250836 h 250836"/>
                      <a:gd name="connsiteX5" fmla="*/ 1148747 w 1672932"/>
                      <a:gd name="connsiteY5" fmla="*/ 250836 h 250836"/>
                      <a:gd name="connsiteX6" fmla="*/ 591103 w 1672932"/>
                      <a:gd name="connsiteY6" fmla="*/ 250836 h 250836"/>
                      <a:gd name="connsiteX7" fmla="*/ 0 w 1672932"/>
                      <a:gd name="connsiteY7" fmla="*/ 250836 h 250836"/>
                      <a:gd name="connsiteX8" fmla="*/ 0 w 1672932"/>
                      <a:gd name="connsiteY8" fmla="*/ 0 h 25083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672932" h="250836" fill="none" extrusionOk="0">
                        <a:moveTo>
                          <a:pt x="0" y="0"/>
                        </a:moveTo>
                        <a:cubicBezTo>
                          <a:pt x="188116" y="9293"/>
                          <a:pt x="453306" y="4280"/>
                          <a:pt x="591103" y="0"/>
                        </a:cubicBezTo>
                        <a:cubicBezTo>
                          <a:pt x="728900" y="-4280"/>
                          <a:pt x="1049044" y="8924"/>
                          <a:pt x="1165476" y="0"/>
                        </a:cubicBezTo>
                        <a:cubicBezTo>
                          <a:pt x="1281908" y="-8924"/>
                          <a:pt x="1460273" y="-4308"/>
                          <a:pt x="1672932" y="0"/>
                        </a:cubicBezTo>
                        <a:cubicBezTo>
                          <a:pt x="1674345" y="96037"/>
                          <a:pt x="1683683" y="170992"/>
                          <a:pt x="1672932" y="250836"/>
                        </a:cubicBezTo>
                        <a:cubicBezTo>
                          <a:pt x="1432881" y="249374"/>
                          <a:pt x="1321424" y="268884"/>
                          <a:pt x="1148747" y="250836"/>
                        </a:cubicBezTo>
                        <a:cubicBezTo>
                          <a:pt x="976070" y="232788"/>
                          <a:pt x="808532" y="255866"/>
                          <a:pt x="591103" y="250836"/>
                        </a:cubicBezTo>
                        <a:cubicBezTo>
                          <a:pt x="373674" y="245806"/>
                          <a:pt x="252669" y="238480"/>
                          <a:pt x="0" y="250836"/>
                        </a:cubicBezTo>
                        <a:cubicBezTo>
                          <a:pt x="2797" y="186319"/>
                          <a:pt x="-4645" y="91791"/>
                          <a:pt x="0" y="0"/>
                        </a:cubicBezTo>
                        <a:close/>
                      </a:path>
                      <a:path w="1672932" h="250836" stroke="0" extrusionOk="0">
                        <a:moveTo>
                          <a:pt x="0" y="0"/>
                        </a:moveTo>
                        <a:cubicBezTo>
                          <a:pt x="120509" y="-19469"/>
                          <a:pt x="405184" y="-26763"/>
                          <a:pt x="540915" y="0"/>
                        </a:cubicBezTo>
                        <a:cubicBezTo>
                          <a:pt x="676647" y="26763"/>
                          <a:pt x="858441" y="-8599"/>
                          <a:pt x="1048371" y="0"/>
                        </a:cubicBezTo>
                        <a:cubicBezTo>
                          <a:pt x="1238301" y="8599"/>
                          <a:pt x="1456240" y="2965"/>
                          <a:pt x="1672932" y="0"/>
                        </a:cubicBezTo>
                        <a:cubicBezTo>
                          <a:pt x="1681274" y="79328"/>
                          <a:pt x="1661979" y="126587"/>
                          <a:pt x="1672932" y="250836"/>
                        </a:cubicBezTo>
                        <a:cubicBezTo>
                          <a:pt x="1497203" y="241836"/>
                          <a:pt x="1342653" y="258489"/>
                          <a:pt x="1148747" y="250836"/>
                        </a:cubicBezTo>
                        <a:cubicBezTo>
                          <a:pt x="954842" y="243183"/>
                          <a:pt x="695422" y="258513"/>
                          <a:pt x="557644" y="250836"/>
                        </a:cubicBezTo>
                        <a:cubicBezTo>
                          <a:pt x="419866" y="243159"/>
                          <a:pt x="139903" y="246146"/>
                          <a:pt x="0" y="250836"/>
                        </a:cubicBezTo>
                        <a:cubicBezTo>
                          <a:pt x="-10878" y="137148"/>
                          <a:pt x="8115" y="945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ln w="3175">
                  <a:noFill/>
                </a:ln>
                <a:solidFill>
                  <a:srgbClr val="002060"/>
                </a:solidFill>
                <a:latin typeface="+mn-lt"/>
                <a:ea typeface="+mn-ea"/>
                <a:cs typeface="+mn-cs"/>
              </a:rPr>
              <a:t>NEOPRENE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A7EEB1-2614-44CF-8293-0BCE9D762D78}" name="tab.aparelhoapoio" displayName="tab.aparelhoapoio" ref="J3:K9" totalsRowShown="0" headerRowDxfId="17" dataDxfId="16">
  <autoFilter ref="J3:K9" xr:uid="{8CA7EEB1-2614-44CF-8293-0BCE9D762D78}">
    <filterColumn colId="0" hiddenButton="1"/>
    <filterColumn colId="1" hiddenButton="1"/>
  </autoFilter>
  <tableColumns count="2">
    <tableColumn id="1" xr3:uid="{764DC2D9-64EF-47A0-9B77-42284F52B078}" name="APARELHO DE APOIO" dataDxfId="15"/>
    <tableColumn id="2" xr3:uid="{4F02273C-D328-4675-8B88-C7DD31E5B2E4}" name="x * Hk" dataDxfId="14"/>
  </tableColumns>
  <tableStyleInfo name="GN Estrutura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0EC09C-5E54-4B80-A228-C60CD3F26E9D}" name="tab.limmbt" displayName="tab.limmbt" ref="J12:K16" totalsRowShown="0" headerRowDxfId="13" dataDxfId="12">
  <autoFilter ref="J12:K16" xr:uid="{FEC87FA4-8D36-4884-89C3-A6F0DAAFD139}">
    <filterColumn colId="0" hiddenButton="1"/>
    <filterColumn colId="1" hiddenButton="1"/>
  </autoFilter>
  <tableColumns count="2">
    <tableColumn id="1" xr3:uid="{7093E4E6-3C9D-4A9B-B91A-1AC3091CF77C}" name="CRITÉRIO" dataDxfId="11" totalsRowDxfId="10"/>
    <tableColumn id="2" xr3:uid="{51448C38-EDF1-4E37-8B20-9C931630CDAE}" name="Resistência" dataDxfId="9" totalsRowDxfId="8"/>
  </tableColumns>
  <tableStyleInfo name="GN Estruturas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E82C58-CC50-47F4-B970-303C52304B33}" name="tab.aço" displayName="tab.aço" ref="J19:K22" totalsRowShown="0" headerRowDxfId="7" dataDxfId="6">
  <autoFilter ref="J19:K22" xr:uid="{E0F58384-A275-47A0-94E6-F6AD3C087659}">
    <filterColumn colId="0" hiddenButton="1"/>
    <filterColumn colId="1" hiddenButton="1"/>
  </autoFilter>
  <tableColumns count="2">
    <tableColumn id="1" xr3:uid="{568B17AF-873D-41BF-A1C0-BDF89D263C39}" name="TIPO DE AÇO" dataDxfId="5"/>
    <tableColumn id="2" xr3:uid="{6B6B1275-630A-4501-B8EE-F65D837A3047}" name="Resistência" dataDxfId="4"/>
  </tableColumns>
  <tableStyleInfo name="GN Estruturas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303B21-38B3-46E4-B445-13AAE3874302}" name="tab.atrito" displayName="tab.atrito" ref="J25:K27" totalsRowShown="0" headerRowDxfId="3" dataDxfId="2">
  <autoFilter ref="J25:K27" xr:uid="{830C75CF-7A2C-4C64-861F-1740D40B5CBE}">
    <filterColumn colId="0" hiddenButton="1"/>
    <filterColumn colId="1" hiddenButton="1"/>
  </autoFilter>
  <tableColumns count="2">
    <tableColumn id="1" xr3:uid="{BDC57D9A-B2B2-4EE4-87B7-CEF8D777AE26}" name="Coeficiente atrito" dataDxfId="1"/>
    <tableColumn id="2" xr3:uid="{187C28C4-BCD5-45E0-A3C5-753C8EB9FFD5}" name="m" dataDxfId="0"/>
  </tableColumns>
  <tableStyleInfo name="GN Estrutura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3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E9301-FC42-452A-BDA2-B3BCBD370B3A}">
  <sheetPr codeName="Planilha2"/>
  <dimension ref="A1:T35"/>
  <sheetViews>
    <sheetView showGridLines="0" showRowColHeaders="0" zoomScale="110" zoomScaleNormal="110" zoomScaleSheetLayoutView="110" workbookViewId="0"/>
  </sheetViews>
  <sheetFormatPr defaultColWidth="0" defaultRowHeight="15" customHeight="1" zeroHeight="1"/>
  <cols>
    <col min="1" max="1" width="5.7109375" customWidth="1"/>
    <col min="2" max="2" width="2.7109375" customWidth="1"/>
    <col min="3" max="17" width="9.140625" customWidth="1"/>
    <col min="18" max="18" width="5.7109375" customWidth="1"/>
    <col min="19" max="20" width="0" hidden="1" customWidth="1"/>
    <col min="21" max="16384" width="9.140625" hidden="1"/>
  </cols>
  <sheetData>
    <row r="1" spans="2:18" ht="15" customHeight="1"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</row>
    <row r="2" spans="2:18" ht="20.100000000000001" customHeight="1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15" customHeight="1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ht="20.100000000000001" customHeight="1">
      <c r="B4" s="215" t="s">
        <v>359</v>
      </c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7"/>
      <c r="R4" s="44"/>
    </row>
    <row r="5" spans="2:18" ht="22.5">
      <c r="B5" s="218" t="s">
        <v>501</v>
      </c>
      <c r="C5" s="219"/>
      <c r="D5" s="219"/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20"/>
      <c r="R5" s="44"/>
    </row>
    <row r="6" spans="2:18" ht="22.5">
      <c r="B6" s="221" t="s">
        <v>502</v>
      </c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3"/>
      <c r="R6" s="44"/>
    </row>
    <row r="7" spans="2:18">
      <c r="B7" s="203" t="s">
        <v>625</v>
      </c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90"/>
    </row>
    <row r="8" spans="2:18">
      <c r="B8" s="203" t="s">
        <v>607</v>
      </c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91"/>
    </row>
    <row r="9" spans="2:18">
      <c r="B9" s="203" t="s">
        <v>626</v>
      </c>
      <c r="C9" s="106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1"/>
    </row>
    <row r="10" spans="2:18">
      <c r="B10" s="203" t="s">
        <v>623</v>
      </c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91"/>
    </row>
    <row r="11" spans="2:18">
      <c r="B11" s="68" t="s">
        <v>503</v>
      </c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4"/>
    </row>
    <row r="12" spans="2:18">
      <c r="B12" s="203" t="s">
        <v>608</v>
      </c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6"/>
      <c r="P12" s="106"/>
      <c r="Q12" s="191"/>
    </row>
    <row r="13" spans="2:18">
      <c r="B13" s="203" t="s">
        <v>609</v>
      </c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91"/>
    </row>
    <row r="14" spans="2:18">
      <c r="B14" s="68" t="s">
        <v>504</v>
      </c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4"/>
    </row>
    <row r="15" spans="2:18">
      <c r="B15" s="203" t="s">
        <v>610</v>
      </c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91"/>
    </row>
    <row r="16" spans="2:18">
      <c r="B16" s="203" t="s">
        <v>611</v>
      </c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91"/>
    </row>
    <row r="17" spans="2:19">
      <c r="B17" s="203" t="s">
        <v>612</v>
      </c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91"/>
      <c r="R17" s="45"/>
      <c r="S17" s="45"/>
    </row>
    <row r="18" spans="2:19">
      <c r="B18" s="203" t="s">
        <v>613</v>
      </c>
      <c r="C18" s="195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6"/>
    </row>
    <row r="19" spans="2:19">
      <c r="B19" s="68" t="s">
        <v>505</v>
      </c>
      <c r="C19" s="197"/>
      <c r="D19" s="197"/>
      <c r="E19" s="197"/>
      <c r="F19" s="197"/>
      <c r="G19" s="197"/>
      <c r="H19" s="197"/>
      <c r="I19" s="197"/>
      <c r="J19" s="197"/>
      <c r="K19" s="197"/>
      <c r="L19" s="197"/>
      <c r="M19" s="197"/>
      <c r="N19" s="197"/>
      <c r="O19" s="197"/>
      <c r="P19" s="197"/>
      <c r="Q19" s="198"/>
    </row>
    <row r="20" spans="2:19">
      <c r="B20" s="203" t="s">
        <v>614</v>
      </c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91"/>
    </row>
    <row r="21" spans="2:19">
      <c r="B21" s="203" t="s">
        <v>624</v>
      </c>
      <c r="C21" s="195"/>
      <c r="D21" s="195"/>
      <c r="E21" s="195"/>
      <c r="F21" s="195"/>
      <c r="G21" s="195"/>
      <c r="H21" s="195"/>
      <c r="I21" s="195"/>
      <c r="J21" s="195"/>
      <c r="K21" s="195"/>
      <c r="L21" s="195"/>
      <c r="M21" s="195"/>
      <c r="N21" s="195"/>
      <c r="O21" s="195"/>
      <c r="P21" s="195"/>
      <c r="Q21" s="196"/>
    </row>
    <row r="22" spans="2:19">
      <c r="B22" s="203" t="s">
        <v>615</v>
      </c>
      <c r="C22" s="106"/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91"/>
    </row>
    <row r="23" spans="2:19">
      <c r="B23" s="203" t="s">
        <v>616</v>
      </c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91"/>
    </row>
    <row r="24" spans="2:19">
      <c r="B24" s="68" t="s">
        <v>506</v>
      </c>
      <c r="C24" s="197"/>
      <c r="D24" s="197"/>
      <c r="E24" s="197"/>
      <c r="F24" s="197"/>
      <c r="G24" s="197"/>
      <c r="H24" s="197"/>
      <c r="I24" s="197"/>
      <c r="J24" s="197"/>
      <c r="K24" s="197"/>
      <c r="L24" s="197"/>
      <c r="M24" s="197"/>
      <c r="N24" s="197"/>
      <c r="O24" s="197"/>
      <c r="P24" s="197"/>
      <c r="Q24" s="198"/>
    </row>
    <row r="25" spans="2:19">
      <c r="B25" s="203" t="s">
        <v>617</v>
      </c>
      <c r="C25" s="195"/>
      <c r="D25" s="195"/>
      <c r="E25" s="195"/>
      <c r="F25" s="195"/>
      <c r="G25" s="195"/>
      <c r="H25" s="195"/>
      <c r="I25" s="195"/>
      <c r="J25" s="195"/>
      <c r="K25" s="195"/>
      <c r="L25" s="195"/>
      <c r="M25" s="195"/>
      <c r="N25" s="195"/>
      <c r="O25" s="195"/>
      <c r="P25" s="195"/>
      <c r="Q25" s="196"/>
    </row>
    <row r="26" spans="2:19">
      <c r="B26" s="203" t="s">
        <v>507</v>
      </c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114"/>
    </row>
    <row r="27" spans="2:19">
      <c r="B27" s="203" t="s">
        <v>508</v>
      </c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114"/>
    </row>
    <row r="28" spans="2:19">
      <c r="B28" s="68" t="s">
        <v>509</v>
      </c>
      <c r="C28" s="199"/>
      <c r="D28" s="199"/>
      <c r="E28" s="199"/>
      <c r="F28" s="199"/>
      <c r="G28" s="199"/>
      <c r="H28" s="199"/>
      <c r="I28" s="199"/>
      <c r="J28" s="199"/>
      <c r="K28" s="199"/>
      <c r="L28" s="199"/>
      <c r="M28" s="199"/>
      <c r="N28" s="199"/>
      <c r="O28" s="199"/>
      <c r="P28" s="199"/>
      <c r="Q28" s="200"/>
    </row>
    <row r="29" spans="2:19">
      <c r="B29" s="203" t="s">
        <v>618</v>
      </c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201"/>
    </row>
    <row r="30" spans="2:19">
      <c r="B30" s="203" t="s">
        <v>619</v>
      </c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114"/>
    </row>
    <row r="31" spans="2:19">
      <c r="B31" s="203" t="s">
        <v>620</v>
      </c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114"/>
    </row>
    <row r="32" spans="2:19">
      <c r="B32" s="203" t="s">
        <v>621</v>
      </c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114"/>
    </row>
    <row r="33" spans="2:17">
      <c r="B33" s="203" t="s">
        <v>510</v>
      </c>
      <c r="C33" s="84"/>
      <c r="D33" s="202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114"/>
    </row>
    <row r="34" spans="2:17">
      <c r="B34" s="204" t="s">
        <v>622</v>
      </c>
      <c r="C34" s="125"/>
      <c r="D34" s="125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6"/>
    </row>
    <row r="35" spans="2:17" ht="25.15" customHeight="1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</row>
  </sheetData>
  <sheetProtection algorithmName="SHA-512" hashValue="BeCvvWxBHEBwPrRW1EJFaTxbe/nwW7kcsYAkitr5VWyhN8dIhhCWaIOkltqxSmN0iP4lZEHbA4ANzYRErJMw8A==" saltValue="P1pmM4OHGUmtFoHWwdc3Lg==" spinCount="100000" sheet="1" objects="1" scenarios="1" selectLockedCells="1"/>
  <mergeCells count="3">
    <mergeCell ref="B4:Q4"/>
    <mergeCell ref="B5:Q5"/>
    <mergeCell ref="B6:Q6"/>
  </mergeCells>
  <pageMargins left="0.25" right="0.25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0189-42C7-40D5-A77F-063CDE52DFAA}">
  <sheetPr codeName="Planilha3"/>
  <dimension ref="A1:J165"/>
  <sheetViews>
    <sheetView showGridLines="0" showRowColHeaders="0" tabSelected="1" topLeftCell="A29" zoomScale="110" zoomScaleNormal="110" zoomScaleSheetLayoutView="100" workbookViewId="0">
      <selection activeCell="C43" sqref="C43"/>
    </sheetView>
  </sheetViews>
  <sheetFormatPr defaultColWidth="0" defaultRowHeight="13.5" zeroHeight="1"/>
  <cols>
    <col min="1" max="1" width="5.7109375" style="84" customWidth="1"/>
    <col min="2" max="2" width="16.5703125" style="84" customWidth="1"/>
    <col min="3" max="3" width="16.7109375" style="84" customWidth="1"/>
    <col min="4" max="4" width="17.140625" style="84" customWidth="1"/>
    <col min="5" max="5" width="19.140625" style="84" customWidth="1"/>
    <col min="6" max="6" width="12.7109375" style="84" customWidth="1"/>
    <col min="7" max="7" width="16.7109375" style="84" customWidth="1"/>
    <col min="8" max="8" width="25.7109375" style="84" bestFit="1" customWidth="1"/>
    <col min="9" max="9" width="19.7109375" style="84" customWidth="1"/>
    <col min="10" max="10" width="5.7109375" style="84" customWidth="1"/>
    <col min="11" max="16384" width="9.140625" style="84" hidden="1"/>
  </cols>
  <sheetData>
    <row r="1" spans="2:9" ht="15" customHeight="1"/>
    <row r="2" spans="2:9" ht="20.100000000000001" customHeight="1"/>
    <row r="3" spans="2:9" ht="15" customHeight="1"/>
    <row r="4" spans="2:9" ht="20.100000000000001" customHeight="1">
      <c r="B4" s="224" t="s">
        <v>149</v>
      </c>
      <c r="C4" s="225"/>
      <c r="D4" s="225"/>
      <c r="E4" s="225"/>
      <c r="F4" s="225"/>
      <c r="G4" s="225"/>
      <c r="H4" s="225"/>
      <c r="I4" s="226"/>
    </row>
    <row r="5" spans="2:9" ht="15" customHeight="1">
      <c r="B5" s="62" t="s">
        <v>570</v>
      </c>
      <c r="E5" s="85" t="s">
        <v>573</v>
      </c>
      <c r="G5" s="85" t="s">
        <v>574</v>
      </c>
      <c r="H5" s="86"/>
      <c r="I5" s="64" t="s">
        <v>575</v>
      </c>
    </row>
    <row r="6" spans="2:9" ht="15" customHeight="1">
      <c r="B6" s="87" t="s">
        <v>585</v>
      </c>
      <c r="C6" s="165">
        <v>40</v>
      </c>
      <c r="D6" s="88" t="s">
        <v>514</v>
      </c>
      <c r="E6" s="79">
        <f>IF(tipologia="Consolo Curto",a_d,"-")</f>
        <v>0.5714285714285714</v>
      </c>
      <c r="F6" s="88" t="s">
        <v>514</v>
      </c>
      <c r="G6" s="79" t="str">
        <f>IF(tipologia="Consolo Muito Curto",a_d,"-")</f>
        <v>-</v>
      </c>
      <c r="H6" s="178" t="s">
        <v>591</v>
      </c>
      <c r="I6" s="171">
        <v>1.4</v>
      </c>
    </row>
    <row r="7" spans="2:9" ht="15" customHeight="1">
      <c r="B7" s="87" t="s">
        <v>120</v>
      </c>
      <c r="C7" s="166" t="s">
        <v>116</v>
      </c>
      <c r="D7" s="87" t="s">
        <v>515</v>
      </c>
      <c r="E7" s="80">
        <f>IF(G19="Consolo Curto",Fsd,"-")</f>
        <v>25.2</v>
      </c>
      <c r="F7" s="87" t="s">
        <v>515</v>
      </c>
      <c r="G7" s="80" t="str">
        <f>IF(G19="Consolo Muito Curto",Fsd,"-")</f>
        <v>-</v>
      </c>
      <c r="H7" s="178" t="s">
        <v>592</v>
      </c>
      <c r="I7" s="172">
        <v>1.4</v>
      </c>
    </row>
    <row r="8" spans="2:9" ht="15" customHeight="1">
      <c r="B8" s="68" t="s">
        <v>571</v>
      </c>
      <c r="C8" s="65"/>
      <c r="D8" s="89" t="s">
        <v>516</v>
      </c>
      <c r="E8" s="80">
        <f>IF(G19="Consolo Curto",Hsd,"-")</f>
        <v>4.032</v>
      </c>
      <c r="F8" s="87" t="s">
        <v>516</v>
      </c>
      <c r="G8" s="80" t="str">
        <f>IF(G19="Consolo Muito Curto",Hsd,"-")</f>
        <v>-</v>
      </c>
      <c r="H8" s="178" t="s">
        <v>593</v>
      </c>
      <c r="I8" s="172">
        <v>1.1499999999999999</v>
      </c>
    </row>
    <row r="9" spans="2:9" ht="15" customHeight="1">
      <c r="B9" s="87" t="s">
        <v>579</v>
      </c>
      <c r="C9" s="167">
        <v>25</v>
      </c>
      <c r="D9" s="87" t="s">
        <v>517</v>
      </c>
      <c r="E9" s="81">
        <f>IF(G19="Consolo Curto",astir.min,"-")</f>
        <v>1.75</v>
      </c>
      <c r="F9" s="87" t="s">
        <v>517</v>
      </c>
      <c r="G9" s="81" t="str">
        <f>IF(G19="Consolo Muito Curto",astir.min.muitocurto,"-")</f>
        <v>-</v>
      </c>
      <c r="H9" s="87" t="s">
        <v>58</v>
      </c>
      <c r="I9" s="173">
        <v>2.5</v>
      </c>
    </row>
    <row r="10" spans="2:9" ht="15" customHeight="1">
      <c r="B10" s="87" t="s">
        <v>582</v>
      </c>
      <c r="C10" s="168">
        <v>25</v>
      </c>
      <c r="D10" s="87" t="s">
        <v>588</v>
      </c>
      <c r="E10" s="81">
        <f>IF(G19="Consolo Curto",as.tir,"-")</f>
        <v>4.8189599999999997</v>
      </c>
      <c r="F10" s="87" t="s">
        <v>588</v>
      </c>
      <c r="G10" s="81" t="str">
        <f>IF(G19="Consolo Muito Curto",as.tirmuitocurto,"-")</f>
        <v>-</v>
      </c>
      <c r="H10" s="87" t="s">
        <v>158</v>
      </c>
      <c r="I10" s="172" t="s">
        <v>108</v>
      </c>
    </row>
    <row r="11" spans="2:9" ht="15" customHeight="1">
      <c r="B11" s="87" t="s">
        <v>583</v>
      </c>
      <c r="C11" s="168">
        <v>25</v>
      </c>
      <c r="D11" s="88" t="s">
        <v>518</v>
      </c>
      <c r="E11" s="81">
        <f>IF(G19="Consolo Curto",Cálculo!C29,"-")</f>
        <v>4.8189599999999997</v>
      </c>
      <c r="F11" s="88" t="s">
        <v>589</v>
      </c>
      <c r="G11" s="81" t="str">
        <f>IF(G19="Consolo Muito Curto",Cálculo!C59,"-")</f>
        <v>-</v>
      </c>
      <c r="H11" s="87" t="s">
        <v>221</v>
      </c>
      <c r="I11" s="166" t="s">
        <v>139</v>
      </c>
    </row>
    <row r="12" spans="2:9" ht="15" customHeight="1">
      <c r="B12" s="87" t="s">
        <v>581</v>
      </c>
      <c r="C12" s="169">
        <v>15</v>
      </c>
      <c r="D12" s="88" t="s">
        <v>519</v>
      </c>
      <c r="E12" s="81">
        <f>IF(G19="Consolo Curto",Cálculo!C30,"-")</f>
        <v>1.5566400000000002</v>
      </c>
      <c r="F12" s="88" t="s">
        <v>519</v>
      </c>
      <c r="G12" s="81" t="str">
        <f>IF(G19="Consolo Muito Curto",Cálculo!C60,"-")</f>
        <v>-</v>
      </c>
      <c r="H12" s="87" t="s">
        <v>633</v>
      </c>
      <c r="I12" s="90" t="str">
        <f>IF(I11="1ª Fase","Boa","Má")</f>
        <v>Má</v>
      </c>
    </row>
    <row r="13" spans="2:9" ht="15" customHeight="1">
      <c r="B13" s="87" t="s">
        <v>580</v>
      </c>
      <c r="C13" s="91">
        <f>Cálculo!K10*Nk</f>
        <v>2.4</v>
      </c>
      <c r="D13" s="88" t="s">
        <v>520</v>
      </c>
      <c r="E13" s="81">
        <f>IF(G19="Consolo Curto",Cálculo!C31,"-")</f>
        <v>0.9375</v>
      </c>
      <c r="F13" s="88" t="s">
        <v>520</v>
      </c>
      <c r="G13" s="81" t="str">
        <f>IF(G19="Consolo Muito Curto",as.est.muitocurtor,"-")</f>
        <v>-</v>
      </c>
      <c r="H13" s="92"/>
      <c r="I13" s="64" t="s">
        <v>29</v>
      </c>
    </row>
    <row r="14" spans="2:9" ht="15" customHeight="1">
      <c r="B14" s="86"/>
      <c r="C14" s="65"/>
      <c r="D14" s="89" t="s">
        <v>586</v>
      </c>
      <c r="E14" s="82">
        <f>IF(G19="Consolo Curto",sigma.bie,"-")</f>
        <v>17.885952000000003</v>
      </c>
      <c r="F14" s="89" t="s">
        <v>521</v>
      </c>
      <c r="G14" s="82" t="str">
        <f>IF(G19="Consolo Muito Curto",twd,"-")</f>
        <v>-</v>
      </c>
      <c r="H14" s="89" t="s">
        <v>222</v>
      </c>
      <c r="I14" s="174" t="s">
        <v>178</v>
      </c>
    </row>
    <row r="15" spans="2:9" ht="15" customHeight="1">
      <c r="B15" s="87" t="s">
        <v>179</v>
      </c>
      <c r="C15" s="167">
        <v>60</v>
      </c>
      <c r="D15" s="87" t="s">
        <v>587</v>
      </c>
      <c r="E15" s="83">
        <f>IF(G19="Consolo Curto",fcd,"-")</f>
        <v>17.28</v>
      </c>
      <c r="F15" s="89" t="s">
        <v>590</v>
      </c>
      <c r="G15" s="83" t="str">
        <f>IF(G19="Consolo Muito Curto",Cálculo!C46,"-")</f>
        <v>-</v>
      </c>
      <c r="H15" s="89" t="s">
        <v>91</v>
      </c>
      <c r="I15" s="173">
        <v>1</v>
      </c>
    </row>
    <row r="16" spans="2:9" ht="15" customHeight="1">
      <c r="B16" s="188" t="s">
        <v>584</v>
      </c>
      <c r="C16" s="170">
        <v>0.4</v>
      </c>
      <c r="D16" s="230" t="str">
        <f>IF(G19="Consolo Curto",Cálculo!C34,"")</f>
        <v>Tensão na biela excessiva</v>
      </c>
      <c r="E16" s="230"/>
      <c r="F16" s="231" t="str">
        <f>IF(G19="Consolo Muito Curto",Cálculo!C64,"")</f>
        <v/>
      </c>
      <c r="G16" s="231"/>
      <c r="H16" s="89" t="s">
        <v>522</v>
      </c>
      <c r="I16" s="173">
        <v>2.5</v>
      </c>
    </row>
    <row r="17" spans="2:9" ht="15" customHeight="1">
      <c r="B17" s="63" t="s">
        <v>572</v>
      </c>
      <c r="D17" s="93"/>
      <c r="E17" s="94"/>
      <c r="F17" s="93"/>
      <c r="G17" s="95"/>
      <c r="H17" s="89" t="s">
        <v>523</v>
      </c>
      <c r="I17" s="173">
        <v>2.5</v>
      </c>
    </row>
    <row r="18" spans="2:9" ht="15" customHeight="1">
      <c r="B18" s="189" t="s">
        <v>156</v>
      </c>
      <c r="C18" s="96" t="s">
        <v>157</v>
      </c>
      <c r="D18" s="96" t="s">
        <v>195</v>
      </c>
      <c r="E18" s="96" t="s">
        <v>194</v>
      </c>
      <c r="F18" s="96" t="s">
        <v>524</v>
      </c>
      <c r="G18" s="97" t="s">
        <v>153</v>
      </c>
      <c r="H18" s="89" t="s">
        <v>525</v>
      </c>
      <c r="I18" s="173">
        <v>2.5</v>
      </c>
    </row>
    <row r="19" spans="2:9" ht="15" customHeight="1">
      <c r="B19" s="67"/>
      <c r="C19" s="98">
        <f>IF(B19&gt;0,B19,(I16+(I22/2)))</f>
        <v>12.5</v>
      </c>
      <c r="D19" s="99">
        <f>dlinha</f>
        <v>3.125</v>
      </c>
      <c r="E19" s="99">
        <f>C9-D19</f>
        <v>21.875</v>
      </c>
      <c r="F19" s="100">
        <f>C19/(C9-D19)</f>
        <v>0.5714285714285714</v>
      </c>
      <c r="G19" s="101" t="str">
        <f>IF(C19/(C9-D19)&lt;=0.5,"Consolo Muito Curto",IF(C19/(C9-D19)&gt;1, "Viga em Balanço","Consolo Curto"))</f>
        <v>Consolo Curto</v>
      </c>
      <c r="H19" s="178" t="s">
        <v>594</v>
      </c>
      <c r="I19" s="175">
        <v>7</v>
      </c>
    </row>
    <row r="20" spans="2:9" ht="15" customHeight="1">
      <c r="B20" s="86"/>
      <c r="G20" s="102"/>
      <c r="H20" s="179" t="s">
        <v>595</v>
      </c>
      <c r="I20" s="66">
        <v>7</v>
      </c>
    </row>
    <row r="21" spans="2:9" ht="15" customHeight="1">
      <c r="B21" s="86"/>
      <c r="D21" s="93"/>
      <c r="E21" s="103"/>
      <c r="G21" s="93"/>
      <c r="H21" s="89" t="s">
        <v>526</v>
      </c>
      <c r="I21" s="104">
        <f>aparelho.nkmax</f>
        <v>28</v>
      </c>
    </row>
    <row r="22" spans="2:9" ht="15" customHeight="1">
      <c r="B22" s="86"/>
      <c r="H22" s="89" t="s">
        <v>527</v>
      </c>
      <c r="I22" s="105">
        <f>aparelho.an</f>
        <v>20</v>
      </c>
    </row>
    <row r="23" spans="2:9" ht="15" customHeight="1">
      <c r="B23" s="86"/>
      <c r="G23" s="106"/>
      <c r="H23" s="89" t="s">
        <v>528</v>
      </c>
      <c r="I23" s="107">
        <f>aparelho.bn</f>
        <v>20</v>
      </c>
    </row>
    <row r="24" spans="2:9" ht="15" customHeight="1">
      <c r="B24" s="86"/>
      <c r="G24" s="108"/>
      <c r="H24" s="108"/>
      <c r="I24" s="109"/>
    </row>
    <row r="25" spans="2:9" ht="15" customHeight="1">
      <c r="B25" s="86"/>
      <c r="G25" s="108"/>
      <c r="H25" s="108"/>
      <c r="I25" s="109"/>
    </row>
    <row r="26" spans="2:9" ht="15" customHeight="1">
      <c r="B26" s="86"/>
      <c r="G26" s="108"/>
      <c r="I26" s="109"/>
    </row>
    <row r="27" spans="2:9" ht="15" customHeight="1">
      <c r="B27" s="86"/>
      <c r="G27" s="108"/>
      <c r="I27" s="109"/>
    </row>
    <row r="28" spans="2:9" ht="15" customHeight="1">
      <c r="B28" s="86"/>
      <c r="F28" s="108"/>
      <c r="G28" s="108"/>
      <c r="I28" s="109"/>
    </row>
    <row r="29" spans="2:9" ht="15" customHeight="1">
      <c r="B29" s="110"/>
      <c r="C29" s="108"/>
      <c r="D29" s="108"/>
      <c r="E29" s="108"/>
      <c r="F29" s="108"/>
      <c r="G29" s="108"/>
      <c r="H29" s="111"/>
      <c r="I29" s="109"/>
    </row>
    <row r="30" spans="2:9" ht="15" customHeight="1">
      <c r="B30" s="110"/>
      <c r="C30" s="108"/>
      <c r="D30" s="108"/>
      <c r="E30" s="108"/>
      <c r="F30" s="108"/>
      <c r="G30" s="108"/>
      <c r="H30" s="112">
        <f>IF(AND(F33&lt;25.4,((C11-(((E33*(F33/10))+((F35/10)*G35)+2*I9)))/(entrada.22-1))&gt;=2),((C11-(((E33*(F33/10))+((F35/10)*G35)+2*I9)))/(entrada.22-1)),IF(AND(F33&gt;25.4,((C11-(((E33*(F33/10))+((F35/10)*G35)+2*I9)))/(entrada.22-1))&gt;=2.54),((C11-(((E33*(F33/10))+((F35/10)*G35)+2*I9)))/(entrada.22-1)),"Sem espaço!"))</f>
        <v>4.666666666666667</v>
      </c>
      <c r="I30" s="109"/>
    </row>
    <row r="31" spans="2:9" ht="15" customHeight="1">
      <c r="B31" s="86"/>
      <c r="I31" s="109"/>
    </row>
    <row r="32" spans="2:9" ht="15" customHeight="1">
      <c r="B32" s="68" t="s">
        <v>576</v>
      </c>
      <c r="E32" s="69" t="s">
        <v>577</v>
      </c>
      <c r="H32" s="113"/>
      <c r="I32" s="114"/>
    </row>
    <row r="33" spans="2:9" ht="15" customHeight="1">
      <c r="B33" s="115" t="s">
        <v>529</v>
      </c>
      <c r="C33" s="116">
        <f>IF(G19="Consolo Curto",Cálculo!C29,Cálculo!C59)</f>
        <v>4.8189599999999997</v>
      </c>
      <c r="D33" s="117">
        <f>ROUNDUP(C33/(PI()*(Diam.tir/20)^2),0)</f>
        <v>4</v>
      </c>
      <c r="E33" s="180">
        <v>4</v>
      </c>
      <c r="F33" s="181">
        <v>12.5</v>
      </c>
      <c r="G33" s="182" t="s">
        <v>62</v>
      </c>
      <c r="H33" s="185" t="s">
        <v>154</v>
      </c>
      <c r="I33" s="186" t="s">
        <v>429</v>
      </c>
    </row>
    <row r="34" spans="2:9" ht="15" customHeight="1">
      <c r="B34" s="115" t="s">
        <v>530</v>
      </c>
      <c r="C34" s="116">
        <f>IF(G19="Consolo Curto",Cálculo!C30,Cálculo!C60)</f>
        <v>1.5566400000000002</v>
      </c>
      <c r="D34" s="118">
        <f>ROUNDUP((C34/(PI()*(Diam.cost/20)^2*G34)),0)</f>
        <v>4</v>
      </c>
      <c r="E34" s="180">
        <v>4</v>
      </c>
      <c r="F34" s="181">
        <v>5</v>
      </c>
      <c r="G34" s="183">
        <v>2</v>
      </c>
      <c r="H34" s="185" t="s">
        <v>155</v>
      </c>
      <c r="I34" s="186" t="s">
        <v>356</v>
      </c>
    </row>
    <row r="35" spans="2:9" ht="15" customHeight="1">
      <c r="B35" s="115" t="s">
        <v>531</v>
      </c>
      <c r="C35" s="116">
        <f>IF(G19="Consolo Curto",Cálculo!C31,as.est.muitocurtor)</f>
        <v>0.9375</v>
      </c>
      <c r="D35" s="119">
        <v>4</v>
      </c>
      <c r="E35" s="180">
        <v>4</v>
      </c>
      <c r="F35" s="181">
        <v>5</v>
      </c>
      <c r="G35" s="184">
        <v>2</v>
      </c>
      <c r="I35" s="120"/>
    </row>
    <row r="36" spans="2:9" ht="15" customHeight="1">
      <c r="B36" s="68" t="s">
        <v>578</v>
      </c>
      <c r="H36" s="121"/>
      <c r="I36" s="114"/>
    </row>
    <row r="37" spans="2:9" ht="15" customHeight="1">
      <c r="B37" s="122" t="s">
        <v>532</v>
      </c>
      <c r="C37" s="70" t="str">
        <f>E33 &amp;
" tirantes Ø "&amp;
 F33 &amp;
" mm -" &amp;
" Ancoragem tipo " &amp;
G33&amp;
" "&amp;
gancho.tir&amp;
" c= "&amp;
 TEXT(tirante.c.total,"0,00")&amp;
" cm (" &amp;
 TEXT(astir.adotado,"0,00")&amp;
" cm²)"</f>
        <v>4 tirantes Ø 12,5 mm - Ancoragem tipo Barra Soldada Com gancho c= 67,00 cm (4,91 cm²)</v>
      </c>
      <c r="D37" s="71"/>
      <c r="E37" s="71"/>
      <c r="F37" s="71"/>
      <c r="G37" s="71"/>
      <c r="H37" s="78" t="str">
        <f>IF(astir.adotado&gt;=Consoles!C33,"ok!","Checar!")</f>
        <v>ok!</v>
      </c>
      <c r="I37" s="123">
        <f>tir.lb.final</f>
        <v>34.359866444382973</v>
      </c>
    </row>
    <row r="38" spans="2:9" ht="15" customHeight="1">
      <c r="B38" s="122" t="s">
        <v>533</v>
      </c>
      <c r="C38" s="72" t="str">
        <f>E34&amp;" grampos Ø "&amp;F34&amp;" mm - Com "&amp;G34&amp;" ramos "&amp;H34&amp;" Lb = "&amp;TEXT(cost.lb.final,"0,00")&amp;" cm ("&amp;TEXT(as.cost.adotado,"0,00")&amp;" cm²)"</f>
        <v>4 grampos Ø 5 mm - Com 2 ramos Sem gancho Lb = 20,00 cm (1,57 cm²)</v>
      </c>
      <c r="D38" s="73"/>
      <c r="E38" s="73"/>
      <c r="F38" s="73"/>
      <c r="G38" s="73"/>
      <c r="H38" s="74" t="str">
        <f>IF(as.cost.adotado&gt;=Consoles!C34,"ok!","Checar!")</f>
        <v>ok!</v>
      </c>
      <c r="I38" s="123">
        <f>cost.lb.final</f>
        <v>20</v>
      </c>
    </row>
    <row r="39" spans="2:9" ht="15" customHeight="1">
      <c r="B39" s="122" t="s">
        <v>534</v>
      </c>
      <c r="C39" s="75" t="str">
        <f>D35 &amp;" estribos Ø"&amp; F35 &amp;" mm - "&amp; TEXT(asestr.adotado,"0,00")&amp;" cm²"</f>
        <v>4 estribos Ø5 mm - 1,57 cm²</v>
      </c>
      <c r="D39" s="76"/>
      <c r="E39" s="76"/>
      <c r="F39" s="76"/>
      <c r="G39" s="76"/>
      <c r="H39" s="77" t="str">
        <f>IF(asestr.adotado&gt;=Consoles!C35,"ok!","Checar!")</f>
        <v>ok!</v>
      </c>
      <c r="I39" s="114"/>
    </row>
    <row r="40" spans="2:9" ht="15" customHeight="1">
      <c r="B40" s="124"/>
      <c r="C40" s="125"/>
      <c r="D40" s="125"/>
      <c r="E40" s="125"/>
      <c r="F40" s="125"/>
      <c r="G40" s="125"/>
      <c r="H40" s="125"/>
      <c r="I40" s="126"/>
    </row>
    <row r="41" spans="2:9" ht="19.899999999999999" customHeight="1">
      <c r="B41" s="227" t="s">
        <v>535</v>
      </c>
      <c r="C41" s="228"/>
      <c r="D41" s="228"/>
      <c r="E41" s="228"/>
      <c r="F41" s="228"/>
      <c r="G41" s="228"/>
      <c r="H41" s="228"/>
      <c r="I41" s="229"/>
    </row>
    <row r="42" spans="2:9" ht="15" customHeight="1">
      <c r="B42" s="86"/>
      <c r="C42" s="127" t="s">
        <v>600</v>
      </c>
      <c r="I42" s="114"/>
    </row>
    <row r="43" spans="2:9" ht="15" customHeight="1">
      <c r="B43" s="128" t="s">
        <v>536</v>
      </c>
      <c r="C43" s="129">
        <f>Cálculo!C15</f>
        <v>40</v>
      </c>
      <c r="D43" s="176" t="s">
        <v>181</v>
      </c>
      <c r="H43" s="85" t="s">
        <v>180</v>
      </c>
      <c r="I43" s="114"/>
    </row>
    <row r="44" spans="2:9" ht="15" customHeight="1">
      <c r="B44" s="187" t="s">
        <v>606</v>
      </c>
      <c r="C44" s="130">
        <f>yc</f>
        <v>1.4</v>
      </c>
      <c r="D44" s="176" t="s">
        <v>182</v>
      </c>
      <c r="G44" s="131" t="s">
        <v>537</v>
      </c>
      <c r="H44" s="132">
        <f>IF(tipologia="Consolo Curto",a_d,"-")</f>
        <v>0.5714285714285714</v>
      </c>
      <c r="I44" s="114"/>
    </row>
    <row r="45" spans="2:9" ht="15" customHeight="1">
      <c r="B45" s="128" t="s">
        <v>538</v>
      </c>
      <c r="C45" s="133">
        <f>fcd</f>
        <v>17.28</v>
      </c>
      <c r="D45" s="176" t="s">
        <v>183</v>
      </c>
      <c r="G45" s="131" t="s">
        <v>153</v>
      </c>
      <c r="H45" s="134" t="str">
        <f>IF(tipologia="Consolo Curto",tipologia,IF(tipologia="Consolo Muito Curto","Ver mem. Muito Curto",tipologia))</f>
        <v>Consolo Curto</v>
      </c>
      <c r="I45" s="114"/>
    </row>
    <row r="46" spans="2:9" ht="15" customHeight="1">
      <c r="B46" s="128" t="s">
        <v>539</v>
      </c>
      <c r="C46" s="135">
        <f>fyk</f>
        <v>500</v>
      </c>
      <c r="D46" s="176" t="s">
        <v>184</v>
      </c>
      <c r="G46" s="131" t="s">
        <v>540</v>
      </c>
      <c r="H46" s="81">
        <f>IF(G19="Consolo Curto",Cálculo!C29,"-")</f>
        <v>4.8189599999999997</v>
      </c>
      <c r="I46" s="114"/>
    </row>
    <row r="47" spans="2:9" ht="15" customHeight="1">
      <c r="B47" s="187" t="s">
        <v>599</v>
      </c>
      <c r="C47" s="130">
        <f>ys</f>
        <v>1.1499999999999999</v>
      </c>
      <c r="D47" s="176" t="s">
        <v>185</v>
      </c>
      <c r="G47" s="131" t="s">
        <v>541</v>
      </c>
      <c r="H47" s="81">
        <f>IF(G19="Consolo Curto",Cálculo!C30,"-")</f>
        <v>1.5566400000000002</v>
      </c>
      <c r="I47" s="114"/>
    </row>
    <row r="48" spans="2:9" ht="15" customHeight="1">
      <c r="B48" s="128" t="s">
        <v>542</v>
      </c>
      <c r="C48" s="136">
        <f>fyd</f>
        <v>434.78260869565219</v>
      </c>
      <c r="D48" s="176" t="s">
        <v>186</v>
      </c>
      <c r="G48" s="131" t="s">
        <v>543</v>
      </c>
      <c r="H48" s="81">
        <f>IF(G19="Consolo Curto",Cálculo!C31,"-")</f>
        <v>0.9375</v>
      </c>
      <c r="I48" s="114"/>
    </row>
    <row r="49" spans="2:9" ht="15" customHeight="1">
      <c r="B49" s="86"/>
      <c r="C49" s="127" t="s">
        <v>54</v>
      </c>
      <c r="G49" s="131" t="s">
        <v>544</v>
      </c>
      <c r="H49" s="82">
        <f>IF(G19="Consolo Curto",sigma.bie,"-")</f>
        <v>17.885952000000003</v>
      </c>
      <c r="I49" s="114"/>
    </row>
    <row r="50" spans="2:9" ht="15" customHeight="1">
      <c r="B50" s="128" t="s">
        <v>150</v>
      </c>
      <c r="C50" s="137">
        <f>h</f>
        <v>25</v>
      </c>
      <c r="D50" s="177" t="s">
        <v>187</v>
      </c>
      <c r="F50" s="95"/>
      <c r="G50" s="131" t="s">
        <v>545</v>
      </c>
      <c r="H50" s="82">
        <f>IF(G19="Consolo Curto",fcd,"-")</f>
        <v>17.28</v>
      </c>
      <c r="I50" s="114"/>
    </row>
    <row r="51" spans="2:9" ht="15" customHeight="1">
      <c r="B51" s="128" t="s">
        <v>151</v>
      </c>
      <c r="C51" s="138">
        <f>comprimento</f>
        <v>25</v>
      </c>
      <c r="D51" s="177" t="s">
        <v>188</v>
      </c>
      <c r="G51" s="131" t="s">
        <v>251</v>
      </c>
      <c r="H51" s="134" t="str">
        <f>IF(G19="Consolo Curto",Cálculo!C34,"-")</f>
        <v>Tensão na biela excessiva</v>
      </c>
      <c r="I51" s="139"/>
    </row>
    <row r="52" spans="2:9" ht="15" customHeight="1">
      <c r="B52" s="128" t="s">
        <v>168</v>
      </c>
      <c r="C52" s="138">
        <f>largura</f>
        <v>25</v>
      </c>
      <c r="D52" s="177" t="s">
        <v>189</v>
      </c>
      <c r="G52" s="131" t="s">
        <v>546</v>
      </c>
      <c r="H52" s="140">
        <f>IFERROR(IF(tipologia="Consolo Curto",x_d,"-"),"Checar x/d!")</f>
        <v>0.21884481367270975</v>
      </c>
      <c r="I52" s="114"/>
    </row>
    <row r="53" spans="2:9" ht="15" customHeight="1">
      <c r="B53" s="128" t="s">
        <v>58</v>
      </c>
      <c r="C53" s="141">
        <f>cobr</f>
        <v>2.5</v>
      </c>
      <c r="D53" s="177" t="s">
        <v>190</v>
      </c>
      <c r="G53" s="88" t="s">
        <v>584</v>
      </c>
      <c r="H53" s="142">
        <f>IF(tipologia="Consolo Curto",x_d.lim,"-")</f>
        <v>0.4</v>
      </c>
      <c r="I53" s="114"/>
    </row>
    <row r="54" spans="2:9" ht="15" customHeight="1">
      <c r="B54" s="143" t="s">
        <v>193</v>
      </c>
      <c r="C54" s="138">
        <f>h-dlinha</f>
        <v>21.875</v>
      </c>
      <c r="D54" s="177" t="s">
        <v>191</v>
      </c>
      <c r="I54" s="114"/>
    </row>
    <row r="55" spans="2:9" ht="15" customHeight="1">
      <c r="B55" s="143" t="s">
        <v>59</v>
      </c>
      <c r="C55" s="144">
        <f>dlinha</f>
        <v>3.125</v>
      </c>
      <c r="D55" s="177" t="s">
        <v>192</v>
      </c>
      <c r="I55" s="114"/>
    </row>
    <row r="56" spans="2:9" ht="15" customHeight="1">
      <c r="B56" s="86"/>
      <c r="C56" s="127" t="s">
        <v>601</v>
      </c>
      <c r="I56" s="114"/>
    </row>
    <row r="57" spans="2:9" ht="15" customHeight="1">
      <c r="B57" s="128" t="s">
        <v>547</v>
      </c>
      <c r="C57" s="145">
        <f>C12</f>
        <v>15</v>
      </c>
      <c r="D57" s="177" t="s">
        <v>196</v>
      </c>
      <c r="I57" s="114"/>
    </row>
    <row r="58" spans="2:9" ht="15" customHeight="1">
      <c r="B58" s="128" t="s">
        <v>548</v>
      </c>
      <c r="C58" s="146">
        <f>C13</f>
        <v>2.4</v>
      </c>
      <c r="D58" s="177" t="s">
        <v>197</v>
      </c>
      <c r="I58" s="114"/>
    </row>
    <row r="59" spans="2:9" ht="15" customHeight="1">
      <c r="B59" s="187" t="s">
        <v>597</v>
      </c>
      <c r="C59" s="130">
        <f>I6</f>
        <v>1.4</v>
      </c>
      <c r="D59" s="177" t="s">
        <v>198</v>
      </c>
      <c r="I59" s="114"/>
    </row>
    <row r="60" spans="2:9" ht="15" customHeight="1">
      <c r="B60" s="187" t="s">
        <v>598</v>
      </c>
      <c r="C60" s="147">
        <f>yconc</f>
        <v>1.2</v>
      </c>
      <c r="D60" s="177" t="s">
        <v>199</v>
      </c>
      <c r="I60" s="114"/>
    </row>
    <row r="61" spans="2:9" ht="15" customHeight="1">
      <c r="B61" s="86"/>
      <c r="C61" s="127" t="s">
        <v>602</v>
      </c>
      <c r="I61" s="114"/>
    </row>
    <row r="62" spans="2:9" ht="15" customHeight="1">
      <c r="B62" s="128" t="s">
        <v>549</v>
      </c>
      <c r="C62" s="148">
        <f>Fsd</f>
        <v>25.2</v>
      </c>
      <c r="D62" s="177" t="s">
        <v>200</v>
      </c>
      <c r="I62" s="114"/>
    </row>
    <row r="63" spans="2:9" ht="15" customHeight="1">
      <c r="B63" s="128" t="s">
        <v>550</v>
      </c>
      <c r="C63" s="80">
        <f>Hsd</f>
        <v>4.032</v>
      </c>
      <c r="D63" s="177" t="s">
        <v>201</v>
      </c>
      <c r="I63" s="114"/>
    </row>
    <row r="64" spans="2:9" ht="15" customHeight="1">
      <c r="B64" s="128" t="s">
        <v>203</v>
      </c>
      <c r="C64" s="149">
        <f>alfa</f>
        <v>9.0902769208223226</v>
      </c>
      <c r="D64" s="177" t="s">
        <v>202</v>
      </c>
      <c r="I64" s="114"/>
    </row>
    <row r="65" spans="2:9" ht="15" customHeight="1">
      <c r="B65" s="128" t="s">
        <v>38</v>
      </c>
      <c r="C65" s="150">
        <f>BD</f>
        <v>0.5</v>
      </c>
      <c r="D65" s="177" t="s">
        <v>205</v>
      </c>
      <c r="I65" s="114"/>
    </row>
    <row r="66" spans="2:9" ht="15" customHeight="1">
      <c r="B66" s="128" t="s">
        <v>39</v>
      </c>
      <c r="C66" s="150">
        <f>AB</f>
        <v>6.25</v>
      </c>
      <c r="D66" s="177" t="s">
        <v>206</v>
      </c>
      <c r="I66" s="114"/>
    </row>
    <row r="67" spans="2:9" ht="15" customHeight="1">
      <c r="B67" s="128" t="s">
        <v>40</v>
      </c>
      <c r="C67" s="150">
        <f>AD</f>
        <v>6.75</v>
      </c>
      <c r="D67" s="177" t="s">
        <v>207</v>
      </c>
      <c r="I67" s="114"/>
    </row>
    <row r="68" spans="2:9" ht="15" customHeight="1">
      <c r="B68" s="128" t="s">
        <v>41</v>
      </c>
      <c r="C68" s="150">
        <f>AC</f>
        <v>12.5</v>
      </c>
      <c r="D68" s="177" t="s">
        <v>208</v>
      </c>
      <c r="I68" s="114"/>
    </row>
    <row r="69" spans="2:9" ht="15" customHeight="1">
      <c r="B69" s="128" t="s">
        <v>204</v>
      </c>
      <c r="C69" s="149">
        <f>teta</f>
        <v>48.652222780306339</v>
      </c>
      <c r="D69" s="177" t="s">
        <v>209</v>
      </c>
      <c r="I69" s="114"/>
    </row>
    <row r="70" spans="2:9" ht="15" customHeight="1">
      <c r="B70" s="128" t="s">
        <v>551</v>
      </c>
      <c r="C70" s="150">
        <f>hbie</f>
        <v>9.3839189615344409</v>
      </c>
      <c r="D70" s="177" t="s">
        <v>210</v>
      </c>
      <c r="I70" s="114"/>
    </row>
    <row r="71" spans="2:9" ht="15" customHeight="1">
      <c r="B71" s="128" t="s">
        <v>552</v>
      </c>
      <c r="C71" s="81">
        <f>abie</f>
        <v>187.67837923068882</v>
      </c>
      <c r="D71" s="177" t="s">
        <v>211</v>
      </c>
      <c r="I71" s="114"/>
    </row>
    <row r="72" spans="2:9" ht="15" customHeight="1">
      <c r="B72" s="128" t="s">
        <v>553</v>
      </c>
      <c r="C72" s="80">
        <f>Rcd</f>
        <v>33.568064823578972</v>
      </c>
      <c r="D72" s="177" t="s">
        <v>212</v>
      </c>
      <c r="I72" s="114"/>
    </row>
    <row r="73" spans="2:9" ht="15" customHeight="1">
      <c r="B73" s="128" t="s">
        <v>554</v>
      </c>
      <c r="C73" s="81">
        <f>Asv</f>
        <v>3.8915999999999999</v>
      </c>
      <c r="D73" s="177" t="s">
        <v>213</v>
      </c>
      <c r="I73" s="114"/>
    </row>
    <row r="74" spans="2:9" ht="15" customHeight="1">
      <c r="B74" s="128" t="s">
        <v>555</v>
      </c>
      <c r="C74" s="81">
        <f>Ash</f>
        <v>0.92736000000000007</v>
      </c>
      <c r="D74" s="177" t="s">
        <v>214</v>
      </c>
      <c r="I74" s="114"/>
    </row>
    <row r="75" spans="2:9" ht="15" customHeight="1">
      <c r="B75" s="128" t="s">
        <v>556</v>
      </c>
      <c r="C75" s="81">
        <f>as.tir</f>
        <v>4.8189599999999997</v>
      </c>
      <c r="D75" s="177" t="s">
        <v>215</v>
      </c>
      <c r="I75" s="114"/>
    </row>
    <row r="76" spans="2:9" ht="15" customHeight="1">
      <c r="B76" s="128" t="s">
        <v>43</v>
      </c>
      <c r="C76" s="151">
        <f>taxa.arm</f>
        <v>8.8118125714285716E-3</v>
      </c>
      <c r="D76" s="177" t="s">
        <v>216</v>
      </c>
      <c r="I76" s="114"/>
    </row>
    <row r="77" spans="2:9" ht="15" customHeight="1">
      <c r="B77" s="128" t="s">
        <v>44</v>
      </c>
      <c r="C77" s="151">
        <f>taxa.mec</f>
        <v>0.11014765714285715</v>
      </c>
      <c r="D77" s="177" t="s">
        <v>217</v>
      </c>
      <c r="I77" s="114"/>
    </row>
    <row r="78" spans="2:9" ht="15" customHeight="1">
      <c r="B78" s="128" t="s">
        <v>557</v>
      </c>
      <c r="C78" s="81">
        <f>astir.min</f>
        <v>1.75</v>
      </c>
      <c r="D78" s="177" t="s">
        <v>218</v>
      </c>
      <c r="I78" s="114"/>
    </row>
    <row r="79" spans="2:9" ht="15" customHeight="1">
      <c r="B79" s="128" t="s">
        <v>541</v>
      </c>
      <c r="C79" s="81">
        <f>as.cost</f>
        <v>1.5566400000000002</v>
      </c>
      <c r="D79" s="177" t="s">
        <v>219</v>
      </c>
      <c r="I79" s="114"/>
    </row>
    <row r="80" spans="2:9" ht="15" customHeight="1">
      <c r="B80" s="128" t="s">
        <v>543</v>
      </c>
      <c r="C80" s="152">
        <f>as.estr</f>
        <v>0.9375</v>
      </c>
      <c r="D80" s="177" t="s">
        <v>220</v>
      </c>
      <c r="I80" s="114"/>
    </row>
    <row r="81" spans="2:9" ht="15" customHeight="1">
      <c r="B81" s="153"/>
      <c r="C81" s="154"/>
      <c r="D81" s="154"/>
      <c r="E81" s="125"/>
      <c r="F81" s="125"/>
      <c r="G81" s="125"/>
      <c r="H81" s="125"/>
      <c r="I81" s="126"/>
    </row>
    <row r="82" spans="2:9" ht="19.899999999999999" customHeight="1">
      <c r="B82" s="224" t="s">
        <v>558</v>
      </c>
      <c r="C82" s="225"/>
      <c r="D82" s="225"/>
      <c r="E82" s="225"/>
      <c r="F82" s="225"/>
      <c r="G82" s="225"/>
      <c r="H82" s="225"/>
      <c r="I82" s="226"/>
    </row>
    <row r="83" spans="2:9" ht="15" customHeight="1">
      <c r="B83" s="86"/>
      <c r="C83" s="127" t="s">
        <v>600</v>
      </c>
      <c r="I83" s="114"/>
    </row>
    <row r="84" spans="2:9" ht="15" customHeight="1">
      <c r="B84" s="128" t="s">
        <v>536</v>
      </c>
      <c r="C84" s="129">
        <f>Cálculo!C41</f>
        <v>40</v>
      </c>
      <c r="D84" s="176" t="s">
        <v>181</v>
      </c>
      <c r="H84" s="127" t="s">
        <v>180</v>
      </c>
      <c r="I84" s="114"/>
    </row>
    <row r="85" spans="2:9" ht="15" customHeight="1">
      <c r="B85" s="187" t="s">
        <v>596</v>
      </c>
      <c r="C85" s="130">
        <f>yc</f>
        <v>1.4</v>
      </c>
      <c r="D85" s="176" t="s">
        <v>182</v>
      </c>
      <c r="G85" s="131" t="s">
        <v>537</v>
      </c>
      <c r="H85" s="132" t="str">
        <f>IF(tipologia="Consolo Muito Curto",a_d,"-")</f>
        <v>-</v>
      </c>
      <c r="I85" s="114"/>
    </row>
    <row r="86" spans="2:9" ht="15" customHeight="1">
      <c r="B86" s="128" t="s">
        <v>538</v>
      </c>
      <c r="C86" s="133">
        <f>fcd.muitocurto</f>
        <v>28.571428571428573</v>
      </c>
      <c r="D86" s="176" t="s">
        <v>183</v>
      </c>
      <c r="G86" s="131" t="s">
        <v>153</v>
      </c>
      <c r="H86" s="134" t="str">
        <f>IF(tipologia="Consolo Muito Curto",tipologia,IF(tipologia="Consolo Curto","Ver mem. Consolo Curto",tipologia))</f>
        <v>Ver mem. Consolo Curto</v>
      </c>
      <c r="I86" s="114"/>
    </row>
    <row r="87" spans="2:9" ht="15" customHeight="1">
      <c r="B87" s="128" t="s">
        <v>539</v>
      </c>
      <c r="C87" s="135">
        <f>fyk</f>
        <v>500</v>
      </c>
      <c r="D87" s="176" t="s">
        <v>184</v>
      </c>
      <c r="G87" s="131" t="s">
        <v>540</v>
      </c>
      <c r="H87" s="81" t="str">
        <f>IF(G19="Consolo Muito Curto",Cálculo!C59,"-")</f>
        <v>-</v>
      </c>
      <c r="I87" s="114"/>
    </row>
    <row r="88" spans="2:9" ht="15" customHeight="1">
      <c r="B88" s="187" t="s">
        <v>599</v>
      </c>
      <c r="C88" s="130">
        <f>ys</f>
        <v>1.1499999999999999</v>
      </c>
      <c r="D88" s="176" t="s">
        <v>185</v>
      </c>
      <c r="G88" s="131" t="s">
        <v>541</v>
      </c>
      <c r="H88" s="81" t="str">
        <f>IF(G19="Consolo Muito Curto",Cálculo!C60,"-")</f>
        <v>-</v>
      </c>
      <c r="I88" s="114"/>
    </row>
    <row r="89" spans="2:9" ht="15" customHeight="1">
      <c r="B89" s="128" t="s">
        <v>542</v>
      </c>
      <c r="C89" s="136">
        <f>fyd</f>
        <v>434.78260869565219</v>
      </c>
      <c r="D89" s="176" t="s">
        <v>186</v>
      </c>
      <c r="G89" s="131" t="s">
        <v>543</v>
      </c>
      <c r="H89" s="81" t="str">
        <f>IF(G19="Consolo Muito Curto",Cálculo!C61,"-")</f>
        <v>-</v>
      </c>
      <c r="I89" s="114"/>
    </row>
    <row r="90" spans="2:9" ht="15" customHeight="1">
      <c r="B90" s="86"/>
      <c r="C90" s="127" t="s">
        <v>54</v>
      </c>
      <c r="G90" s="121" t="s">
        <v>559</v>
      </c>
      <c r="H90" s="82" t="str">
        <f>IF(G19="Consolo Muito Curto",Cálculo!C62,"-")</f>
        <v>-</v>
      </c>
      <c r="I90" s="114"/>
    </row>
    <row r="91" spans="2:9" ht="15" customHeight="1">
      <c r="B91" s="128" t="s">
        <v>150</v>
      </c>
      <c r="C91" s="137">
        <f>h</f>
        <v>25</v>
      </c>
      <c r="D91" s="177" t="s">
        <v>187</v>
      </c>
      <c r="F91" s="95"/>
      <c r="G91" s="121" t="s">
        <v>560</v>
      </c>
      <c r="H91" s="82" t="str">
        <f>IF(G19="Consolo Muito Curto",Cálculo!C63,"-")</f>
        <v>-</v>
      </c>
      <c r="I91" s="114"/>
    </row>
    <row r="92" spans="2:9" ht="15" customHeight="1">
      <c r="B92" s="128" t="s">
        <v>151</v>
      </c>
      <c r="C92" s="138">
        <f>comprimento</f>
        <v>25</v>
      </c>
      <c r="D92" s="177" t="s">
        <v>188</v>
      </c>
      <c r="G92" s="131" t="s">
        <v>166</v>
      </c>
      <c r="H92" s="134" t="str">
        <f>IF(G19="Consolo Muito Curto",Cálculo!C64,"-")</f>
        <v>-</v>
      </c>
      <c r="I92" s="114"/>
    </row>
    <row r="93" spans="2:9" ht="15" customHeight="1">
      <c r="B93" s="128" t="s">
        <v>168</v>
      </c>
      <c r="C93" s="138">
        <f>largura</f>
        <v>25</v>
      </c>
      <c r="D93" s="177" t="s">
        <v>189</v>
      </c>
      <c r="G93" s="131" t="s">
        <v>546</v>
      </c>
      <c r="H93" s="140" t="str">
        <f>IFERROR(IF(tipologia="Consolo Muito Curto",x_d,"-"),"Checar x/d!")</f>
        <v>-</v>
      </c>
      <c r="I93" s="114"/>
    </row>
    <row r="94" spans="2:9" ht="15" customHeight="1">
      <c r="B94" s="128" t="s">
        <v>58</v>
      </c>
      <c r="C94" s="141">
        <f>cobr</f>
        <v>2.5</v>
      </c>
      <c r="D94" s="177" t="s">
        <v>190</v>
      </c>
      <c r="G94" s="88" t="s">
        <v>584</v>
      </c>
      <c r="H94" s="142" t="str">
        <f>IF(tipologia="Consolo Muito Curto",x_d.lim,"-")</f>
        <v>-</v>
      </c>
      <c r="I94" s="114"/>
    </row>
    <row r="95" spans="2:9" ht="15" customHeight="1">
      <c r="B95" s="143" t="s">
        <v>193</v>
      </c>
      <c r="C95" s="138">
        <f>h-dlinha</f>
        <v>21.875</v>
      </c>
      <c r="D95" s="177" t="s">
        <v>191</v>
      </c>
      <c r="I95" s="114"/>
    </row>
    <row r="96" spans="2:9" ht="15" customHeight="1">
      <c r="B96" s="143" t="s">
        <v>59</v>
      </c>
      <c r="C96" s="144">
        <f>dlinha</f>
        <v>3.125</v>
      </c>
      <c r="D96" s="177" t="s">
        <v>192</v>
      </c>
      <c r="I96" s="114"/>
    </row>
    <row r="97" spans="2:9" ht="15" customHeight="1">
      <c r="B97" s="86"/>
      <c r="C97" s="127" t="s">
        <v>601</v>
      </c>
      <c r="I97" s="114"/>
    </row>
    <row r="98" spans="2:9" ht="15" customHeight="1">
      <c r="B98" s="128" t="s">
        <v>547</v>
      </c>
      <c r="C98" s="145">
        <f>entrada.6</f>
        <v>15</v>
      </c>
      <c r="D98" s="177" t="s">
        <v>196</v>
      </c>
      <c r="I98" s="114"/>
    </row>
    <row r="99" spans="2:9" ht="15" customHeight="1">
      <c r="B99" s="128" t="s">
        <v>548</v>
      </c>
      <c r="C99" s="146">
        <f>$C$13</f>
        <v>2.4</v>
      </c>
      <c r="D99" s="177" t="s">
        <v>197</v>
      </c>
      <c r="I99" s="114"/>
    </row>
    <row r="100" spans="2:9" ht="15" customHeight="1">
      <c r="B100" s="187" t="s">
        <v>597</v>
      </c>
      <c r="C100" s="130">
        <f>yk</f>
        <v>1.4</v>
      </c>
      <c r="D100" s="177" t="s">
        <v>198</v>
      </c>
      <c r="I100" s="114"/>
    </row>
    <row r="101" spans="2:9" ht="15" customHeight="1">
      <c r="B101" s="187" t="s">
        <v>598</v>
      </c>
      <c r="C101" s="147">
        <f>yconc</f>
        <v>1.2</v>
      </c>
      <c r="D101" s="177" t="s">
        <v>199</v>
      </c>
      <c r="I101" s="114"/>
    </row>
    <row r="102" spans="2:9" ht="15" customHeight="1">
      <c r="B102" s="86"/>
      <c r="C102" s="127" t="s">
        <v>602</v>
      </c>
      <c r="I102" s="114"/>
    </row>
    <row r="103" spans="2:9" ht="15" customHeight="1">
      <c r="B103" s="128" t="s">
        <v>549</v>
      </c>
      <c r="C103" s="148">
        <f>Cálculo!C38</f>
        <v>25.2</v>
      </c>
      <c r="D103" s="177" t="s">
        <v>200</v>
      </c>
      <c r="I103" s="114"/>
    </row>
    <row r="104" spans="2:9" ht="15" customHeight="1">
      <c r="B104" s="128" t="s">
        <v>550</v>
      </c>
      <c r="C104" s="80">
        <f>Cálculo!C39</f>
        <v>4.032</v>
      </c>
      <c r="D104" s="177" t="s">
        <v>201</v>
      </c>
      <c r="I104" s="114"/>
    </row>
    <row r="105" spans="2:9" ht="15" customHeight="1">
      <c r="B105" s="128" t="s">
        <v>561</v>
      </c>
      <c r="C105" s="82">
        <f>twd</f>
        <v>4.032</v>
      </c>
      <c r="D105" s="177" t="s">
        <v>294</v>
      </c>
      <c r="I105" s="114"/>
    </row>
    <row r="106" spans="2:9" ht="15" customHeight="1">
      <c r="B106" s="128" t="s">
        <v>562</v>
      </c>
      <c r="C106" s="82">
        <f>twu.1</f>
        <v>6.9813120000000009</v>
      </c>
      <c r="D106" s="177" t="s">
        <v>295</v>
      </c>
      <c r="I106" s="114"/>
    </row>
    <row r="107" spans="2:9" ht="15" customHeight="1">
      <c r="B107" s="128" t="s">
        <v>563</v>
      </c>
      <c r="C107" s="82">
        <f>twu.2</f>
        <v>6.48</v>
      </c>
      <c r="D107" s="177" t="s">
        <v>296</v>
      </c>
      <c r="I107" s="114"/>
    </row>
    <row r="108" spans="2:9" ht="15" customHeight="1">
      <c r="B108" s="128" t="s">
        <v>564</v>
      </c>
      <c r="C108" s="82">
        <f>twu.3</f>
        <v>8</v>
      </c>
      <c r="D108" s="177" t="s">
        <v>297</v>
      </c>
      <c r="I108" s="114"/>
    </row>
    <row r="109" spans="2:9" ht="15" customHeight="1">
      <c r="B109" s="128" t="s">
        <v>565</v>
      </c>
      <c r="C109" s="82">
        <f>Cálculo!C46</f>
        <v>6.48</v>
      </c>
      <c r="D109" s="177" t="s">
        <v>298</v>
      </c>
      <c r="I109" s="114"/>
    </row>
    <row r="110" spans="2:9" ht="15" customHeight="1">
      <c r="B110" s="128" t="s">
        <v>539</v>
      </c>
      <c r="C110" s="81">
        <f>Cálculo!C47</f>
        <v>500</v>
      </c>
      <c r="D110" s="177" t="s">
        <v>211</v>
      </c>
      <c r="I110" s="114"/>
    </row>
    <row r="111" spans="2:9" ht="15" customHeight="1">
      <c r="B111" s="128" t="s">
        <v>542</v>
      </c>
      <c r="C111" s="133">
        <f>Cálculo!C48</f>
        <v>434.78260869565219</v>
      </c>
      <c r="D111" s="176" t="s">
        <v>186</v>
      </c>
      <c r="I111" s="114"/>
    </row>
    <row r="112" spans="2:9" ht="15" customHeight="1">
      <c r="B112" s="128" t="s">
        <v>136</v>
      </c>
      <c r="C112" s="155">
        <f>mi</f>
        <v>1</v>
      </c>
      <c r="D112" s="177" t="s">
        <v>299</v>
      </c>
      <c r="I112" s="114"/>
    </row>
    <row r="113" spans="2:9" ht="15" customHeight="1">
      <c r="B113" s="128" t="s">
        <v>554</v>
      </c>
      <c r="C113" s="81">
        <f>asv.muitocurto</f>
        <v>4.6368</v>
      </c>
      <c r="D113" s="177" t="s">
        <v>213</v>
      </c>
      <c r="I113" s="114"/>
    </row>
    <row r="114" spans="2:9" ht="15" customHeight="1">
      <c r="B114" s="128" t="s">
        <v>556</v>
      </c>
      <c r="C114" s="81">
        <f>as.tirmuitocurto</f>
        <v>5.5641600000000002</v>
      </c>
      <c r="D114" s="177" t="s">
        <v>215</v>
      </c>
      <c r="I114" s="114"/>
    </row>
    <row r="115" spans="2:9" ht="15" customHeight="1">
      <c r="B115" s="128" t="s">
        <v>43</v>
      </c>
      <c r="C115" s="151">
        <f>taxa.arm.muitocurto</f>
        <v>1.0174464000000001E-2</v>
      </c>
      <c r="D115" s="177" t="s">
        <v>216</v>
      </c>
      <c r="I115" s="114"/>
    </row>
    <row r="116" spans="2:9" ht="15" customHeight="1">
      <c r="B116" s="128" t="s">
        <v>44</v>
      </c>
      <c r="C116" s="151">
        <f>taxa.mec.muitocurto</f>
        <v>0.12718080000000001</v>
      </c>
      <c r="D116" s="177" t="s">
        <v>217</v>
      </c>
      <c r="I116" s="114"/>
    </row>
    <row r="117" spans="2:9" ht="15" customHeight="1">
      <c r="B117" s="128" t="s">
        <v>557</v>
      </c>
      <c r="C117" s="81">
        <f>astir.min.muitocurto</f>
        <v>1.75</v>
      </c>
      <c r="D117" s="177" t="s">
        <v>218</v>
      </c>
      <c r="I117" s="114"/>
    </row>
    <row r="118" spans="2:9" ht="15" customHeight="1">
      <c r="B118" s="128" t="s">
        <v>541</v>
      </c>
      <c r="C118" s="81">
        <f>as.cost.muitocurto</f>
        <v>2.3184</v>
      </c>
      <c r="D118" s="177" t="s">
        <v>300</v>
      </c>
      <c r="I118" s="114"/>
    </row>
    <row r="119" spans="2:9" ht="15" customHeight="1">
      <c r="B119" s="128" t="s">
        <v>543</v>
      </c>
      <c r="C119" s="152">
        <f>as.est.muitocurtor</f>
        <v>0.9375</v>
      </c>
      <c r="D119" s="177" t="s">
        <v>301</v>
      </c>
      <c r="I119" s="114"/>
    </row>
    <row r="120" spans="2:9">
      <c r="B120" s="86"/>
      <c r="I120" s="114"/>
    </row>
    <row r="121" spans="2:9">
      <c r="B121" s="124"/>
      <c r="C121" s="125"/>
      <c r="D121" s="125"/>
      <c r="E121" s="125"/>
      <c r="F121" s="125"/>
      <c r="G121" s="125"/>
      <c r="H121" s="125"/>
      <c r="I121" s="126"/>
    </row>
    <row r="122" spans="2:9" ht="20.100000000000001" customHeight="1">
      <c r="B122" s="224" t="s">
        <v>566</v>
      </c>
      <c r="C122" s="225"/>
      <c r="D122" s="225"/>
      <c r="E122" s="225"/>
      <c r="F122" s="225"/>
      <c r="G122" s="225"/>
      <c r="H122" s="225"/>
      <c r="I122" s="226"/>
    </row>
    <row r="123" spans="2:9" ht="15" customHeight="1">
      <c r="B123" s="156"/>
      <c r="C123" s="157"/>
      <c r="D123" s="157"/>
      <c r="E123" s="157"/>
      <c r="F123" s="157"/>
      <c r="G123" s="157"/>
      <c r="H123" s="157"/>
      <c r="I123" s="158"/>
    </row>
    <row r="124" spans="2:9" ht="15" customHeight="1">
      <c r="B124" s="159" t="s">
        <v>603</v>
      </c>
      <c r="C124" s="157"/>
      <c r="D124" s="157"/>
      <c r="E124" s="157"/>
      <c r="F124" s="157"/>
      <c r="G124" s="157"/>
      <c r="H124" s="157"/>
      <c r="I124" s="158"/>
    </row>
    <row r="125" spans="2:9" ht="15" customHeight="1">
      <c r="B125" s="160" t="s">
        <v>567</v>
      </c>
      <c r="C125" s="157"/>
      <c r="D125" s="157"/>
      <c r="E125" s="157"/>
      <c r="F125" s="157"/>
      <c r="G125" s="157"/>
      <c r="H125" s="157"/>
      <c r="I125" s="158"/>
    </row>
    <row r="126" spans="2:9" ht="15" customHeight="1">
      <c r="B126" s="160" t="s">
        <v>568</v>
      </c>
      <c r="C126" s="157"/>
      <c r="D126" s="157"/>
      <c r="E126" s="157"/>
      <c r="F126" s="157"/>
      <c r="G126" s="157"/>
      <c r="H126" s="157"/>
      <c r="I126" s="158"/>
    </row>
    <row r="127" spans="2:9" ht="15" customHeight="1">
      <c r="B127" s="160" t="s">
        <v>569</v>
      </c>
      <c r="C127" s="157"/>
      <c r="D127" s="157"/>
      <c r="E127" s="157"/>
      <c r="F127" s="157"/>
      <c r="G127" s="157"/>
      <c r="H127" s="157"/>
      <c r="I127" s="158"/>
    </row>
    <row r="128" spans="2:9" ht="15" customHeight="1">
      <c r="B128" s="156"/>
      <c r="C128" s="157"/>
      <c r="D128" s="157"/>
      <c r="E128" s="157"/>
      <c r="F128" s="157"/>
      <c r="G128" s="157"/>
      <c r="H128" s="157"/>
      <c r="I128" s="158"/>
    </row>
    <row r="129" spans="2:9" ht="15" customHeight="1">
      <c r="B129" s="159" t="s">
        <v>604</v>
      </c>
      <c r="C129" s="157"/>
      <c r="D129" s="157"/>
      <c r="E129" s="157"/>
      <c r="F129" s="157"/>
      <c r="G129" s="157"/>
      <c r="H129" s="157"/>
      <c r="I129" s="158"/>
    </row>
    <row r="130" spans="2:9" ht="15" customHeight="1">
      <c r="B130" s="160" t="s">
        <v>266</v>
      </c>
      <c r="C130" s="157"/>
      <c r="D130" s="157"/>
      <c r="E130" s="157"/>
      <c r="F130" s="157"/>
      <c r="G130" s="157"/>
      <c r="H130" s="157"/>
      <c r="I130" s="158"/>
    </row>
    <row r="131" spans="2:9" ht="15" customHeight="1">
      <c r="B131" s="160" t="s">
        <v>267</v>
      </c>
      <c r="C131" s="157"/>
      <c r="D131" s="157"/>
      <c r="E131" s="157"/>
      <c r="F131" s="157"/>
      <c r="G131" s="157"/>
      <c r="H131" s="157"/>
      <c r="I131" s="158"/>
    </row>
    <row r="132" spans="2:9" ht="15" customHeight="1">
      <c r="B132" s="156"/>
      <c r="C132" s="157"/>
      <c r="D132" s="157"/>
      <c r="E132" s="157"/>
      <c r="F132" s="157"/>
      <c r="G132" s="157"/>
      <c r="H132" s="157"/>
      <c r="I132" s="158"/>
    </row>
    <row r="133" spans="2:9" ht="15" customHeight="1">
      <c r="B133" s="159" t="s">
        <v>605</v>
      </c>
      <c r="C133" s="157"/>
      <c r="D133" s="157"/>
      <c r="E133" s="157"/>
      <c r="F133" s="157"/>
      <c r="G133" s="157"/>
      <c r="H133" s="157"/>
      <c r="I133" s="158"/>
    </row>
    <row r="134" spans="2:9" ht="15" customHeight="1">
      <c r="B134" s="160" t="s">
        <v>268</v>
      </c>
      <c r="C134" s="157"/>
      <c r="D134" s="157"/>
      <c r="E134" s="157"/>
      <c r="F134" s="157"/>
      <c r="G134" s="157"/>
      <c r="H134" s="157"/>
      <c r="I134" s="158"/>
    </row>
    <row r="135" spans="2:9" ht="15" customHeight="1">
      <c r="B135" s="160" t="s">
        <v>265</v>
      </c>
      <c r="C135" s="157"/>
      <c r="D135" s="157"/>
      <c r="E135" s="157"/>
      <c r="F135" s="157"/>
      <c r="G135" s="157"/>
      <c r="H135" s="157"/>
      <c r="I135" s="158"/>
    </row>
    <row r="136" spans="2:9" ht="15" customHeight="1">
      <c r="B136" s="160" t="s">
        <v>269</v>
      </c>
      <c r="C136" s="157"/>
      <c r="D136" s="157"/>
      <c r="E136" s="157"/>
      <c r="F136" s="157"/>
      <c r="G136" s="157"/>
      <c r="H136" s="157"/>
      <c r="I136" s="158"/>
    </row>
    <row r="137" spans="2:9" ht="15" customHeight="1">
      <c r="B137" s="160" t="s">
        <v>270</v>
      </c>
      <c r="C137" s="157"/>
      <c r="D137" s="157"/>
      <c r="E137" s="157"/>
      <c r="F137" s="157"/>
      <c r="G137" s="157"/>
      <c r="H137" s="157"/>
      <c r="I137" s="158"/>
    </row>
    <row r="138" spans="2:9" ht="15" customHeight="1">
      <c r="B138" s="160" t="s">
        <v>271</v>
      </c>
      <c r="C138" s="157"/>
      <c r="D138" s="157"/>
      <c r="E138" s="157"/>
      <c r="F138" s="157"/>
      <c r="G138" s="157"/>
      <c r="H138" s="157"/>
      <c r="I138" s="158"/>
    </row>
    <row r="139" spans="2:9" ht="15" customHeight="1">
      <c r="B139" s="160" t="s">
        <v>272</v>
      </c>
      <c r="C139" s="157"/>
      <c r="D139" s="157"/>
      <c r="E139" s="157"/>
      <c r="F139" s="157"/>
      <c r="G139" s="157"/>
      <c r="H139" s="157"/>
      <c r="I139" s="158"/>
    </row>
    <row r="140" spans="2:9" ht="15" customHeight="1">
      <c r="B140" s="160" t="s">
        <v>273</v>
      </c>
      <c r="C140" s="157"/>
      <c r="D140" s="157"/>
      <c r="E140" s="157"/>
      <c r="F140" s="157"/>
      <c r="G140" s="157"/>
      <c r="H140" s="157"/>
      <c r="I140" s="158"/>
    </row>
    <row r="141" spans="2:9" ht="15" customHeight="1">
      <c r="B141" s="156" t="s">
        <v>274</v>
      </c>
      <c r="C141" s="157"/>
      <c r="D141" s="157"/>
      <c r="E141" s="157"/>
      <c r="F141" s="157"/>
      <c r="G141" s="157"/>
      <c r="H141" s="157"/>
      <c r="I141" s="158"/>
    </row>
    <row r="142" spans="2:9" ht="15" customHeight="1">
      <c r="B142" s="156" t="s">
        <v>275</v>
      </c>
      <c r="C142" s="157"/>
      <c r="D142" s="157"/>
      <c r="E142" s="157"/>
      <c r="F142" s="157"/>
      <c r="G142" s="157"/>
      <c r="H142" s="157"/>
      <c r="I142" s="158"/>
    </row>
    <row r="143" spans="2:9" ht="15" customHeight="1">
      <c r="B143" s="156" t="s">
        <v>276</v>
      </c>
      <c r="C143" s="157"/>
      <c r="D143" s="157"/>
      <c r="E143" s="157"/>
      <c r="F143" s="157"/>
      <c r="G143" s="157"/>
      <c r="H143" s="157"/>
      <c r="I143" s="158"/>
    </row>
    <row r="144" spans="2:9" ht="15" customHeight="1">
      <c r="B144" s="156"/>
      <c r="C144" s="157"/>
      <c r="D144" s="157"/>
      <c r="E144" s="157"/>
      <c r="F144" s="157"/>
      <c r="G144" s="157"/>
      <c r="H144" s="157"/>
      <c r="I144" s="158"/>
    </row>
    <row r="145" spans="2:9" ht="15" customHeight="1">
      <c r="B145" s="156"/>
      <c r="C145" s="157"/>
      <c r="D145" s="157"/>
      <c r="E145" s="157"/>
      <c r="F145" s="157"/>
      <c r="H145" s="157"/>
      <c r="I145" s="158"/>
    </row>
    <row r="146" spans="2:9" ht="15" customHeight="1">
      <c r="B146" s="156"/>
      <c r="C146" s="157"/>
      <c r="D146" s="157"/>
      <c r="E146" s="157"/>
      <c r="F146" s="157"/>
      <c r="G146" s="157"/>
      <c r="H146" s="157"/>
      <c r="I146" s="158"/>
    </row>
    <row r="147" spans="2:9" ht="15" customHeight="1">
      <c r="B147" s="86"/>
      <c r="I147" s="114"/>
    </row>
    <row r="148" spans="2:9" ht="15" customHeight="1">
      <c r="B148" s="86"/>
      <c r="I148" s="114"/>
    </row>
    <row r="149" spans="2:9" ht="15" customHeight="1">
      <c r="B149" s="86"/>
      <c r="I149" s="114"/>
    </row>
    <row r="150" spans="2:9" ht="15" customHeight="1">
      <c r="B150" s="161"/>
      <c r="F150" s="162"/>
      <c r="I150" s="114"/>
    </row>
    <row r="151" spans="2:9" ht="15" customHeight="1">
      <c r="B151" s="86"/>
      <c r="F151" s="163"/>
      <c r="I151" s="114"/>
    </row>
    <row r="152" spans="2:9" ht="15" customHeight="1">
      <c r="B152" s="86"/>
      <c r="F152" s="164"/>
      <c r="I152" s="114"/>
    </row>
    <row r="153" spans="2:9" ht="15" customHeight="1">
      <c r="B153" s="86"/>
      <c r="I153" s="114"/>
    </row>
    <row r="154" spans="2:9" ht="15" customHeight="1">
      <c r="B154" s="86"/>
      <c r="I154" s="114"/>
    </row>
    <row r="155" spans="2:9" ht="15" customHeight="1">
      <c r="B155" s="86"/>
      <c r="I155" s="114"/>
    </row>
    <row r="156" spans="2:9" ht="15" customHeight="1">
      <c r="B156" s="86"/>
      <c r="I156" s="114"/>
    </row>
    <row r="157" spans="2:9" ht="15" customHeight="1">
      <c r="B157" s="86"/>
      <c r="I157" s="114"/>
    </row>
    <row r="158" spans="2:9" ht="15" customHeight="1">
      <c r="B158" s="86"/>
      <c r="I158" s="114"/>
    </row>
    <row r="159" spans="2:9" ht="15" customHeight="1">
      <c r="B159" s="86"/>
      <c r="I159" s="114"/>
    </row>
    <row r="160" spans="2:9" ht="15" customHeight="1">
      <c r="B160" s="86"/>
      <c r="I160" s="114"/>
    </row>
    <row r="161" spans="2:9" ht="15" customHeight="1">
      <c r="B161" s="86"/>
      <c r="I161" s="114"/>
    </row>
    <row r="162" spans="2:9" ht="15" customHeight="1">
      <c r="B162" s="86"/>
      <c r="I162" s="114"/>
    </row>
    <row r="163" spans="2:9" ht="15" customHeight="1">
      <c r="B163" s="86"/>
      <c r="I163" s="114"/>
    </row>
    <row r="164" spans="2:9" ht="15" customHeight="1">
      <c r="B164" s="124"/>
      <c r="C164" s="125"/>
      <c r="D164" s="125"/>
      <c r="E164" s="125"/>
      <c r="F164" s="125"/>
      <c r="G164" s="125"/>
      <c r="H164" s="125"/>
      <c r="I164" s="126"/>
    </row>
    <row r="165" spans="2:9" ht="25.15" customHeight="1">
      <c r="B165" s="157"/>
      <c r="C165" s="157"/>
      <c r="D165" s="157"/>
      <c r="E165" s="157"/>
      <c r="F165" s="157"/>
      <c r="G165" s="157"/>
      <c r="H165" s="157"/>
      <c r="I165" s="157"/>
    </row>
  </sheetData>
  <sheetProtection selectLockedCells="1"/>
  <mergeCells count="6">
    <mergeCell ref="B122:I122"/>
    <mergeCell ref="B82:I82"/>
    <mergeCell ref="B4:I4"/>
    <mergeCell ref="B41:I41"/>
    <mergeCell ref="D16:E16"/>
    <mergeCell ref="F16:G16"/>
  </mergeCells>
  <conditionalFormatting sqref="E14">
    <cfRule type="cellIs" dxfId="65" priority="59" operator="between">
      <formula>$E$15*0.8</formula>
      <formula>$E$15</formula>
    </cfRule>
    <cfRule type="cellIs" dxfId="64" priority="60" operator="between">
      <formula>0</formula>
      <formula>$E$15*0.8</formula>
    </cfRule>
    <cfRule type="cellIs" dxfId="63" priority="61" operator="greaterThan">
      <formula>$E$15</formula>
    </cfRule>
  </conditionalFormatting>
  <conditionalFormatting sqref="G14">
    <cfRule type="cellIs" dxfId="62" priority="55" operator="between">
      <formula>$G$15*0.8</formula>
      <formula>$G$15</formula>
    </cfRule>
    <cfRule type="cellIs" dxfId="61" priority="56" operator="between">
      <formula>0</formula>
      <formula>$G$15*0.8</formula>
    </cfRule>
    <cfRule type="cellIs" dxfId="60" priority="57" operator="greaterThan">
      <formula>$G$15</formula>
    </cfRule>
  </conditionalFormatting>
  <conditionalFormatting sqref="I20">
    <cfRule type="cellIs" dxfId="59" priority="51" operator="between">
      <formula>0.8*$I$19</formula>
      <formula>$I$19</formula>
    </cfRule>
    <cfRule type="cellIs" dxfId="58" priority="53" operator="between">
      <formula>0</formula>
      <formula>$I$19*0.8</formula>
    </cfRule>
    <cfRule type="cellIs" dxfId="57" priority="54" operator="greaterThan">
      <formula>$I$19</formula>
    </cfRule>
  </conditionalFormatting>
  <conditionalFormatting sqref="H90">
    <cfRule type="cellIs" dxfId="56" priority="34" operator="between">
      <formula>$G$15*0.8</formula>
      <formula>$G$15</formula>
    </cfRule>
    <cfRule type="cellIs" dxfId="55" priority="35" operator="between">
      <formula>0</formula>
      <formula>$G$15*0.8</formula>
    </cfRule>
    <cfRule type="cellIs" dxfId="54" priority="36" operator="greaterThan">
      <formula>$G$15</formula>
    </cfRule>
  </conditionalFormatting>
  <conditionalFormatting sqref="H36">
    <cfRule type="expression" dxfId="53" priority="63">
      <formula>IF($H$37="ok!",)</formula>
    </cfRule>
  </conditionalFormatting>
  <conditionalFormatting sqref="C37:H37">
    <cfRule type="expression" dxfId="52" priority="64">
      <formula>$H$37="Checar!"</formula>
    </cfRule>
    <cfRule type="expression" dxfId="51" priority="65">
      <formula>$H$37="ok!"</formula>
    </cfRule>
  </conditionalFormatting>
  <conditionalFormatting sqref="C38:H38">
    <cfRule type="expression" dxfId="50" priority="38">
      <formula>$H$38="Checar!"</formula>
    </cfRule>
    <cfRule type="expression" dxfId="49" priority="42">
      <formula>$H$38="ok!"</formula>
    </cfRule>
  </conditionalFormatting>
  <conditionalFormatting sqref="I37">
    <cfRule type="cellIs" dxfId="48" priority="32" operator="lessThan">
      <formula>$C$15-2.5</formula>
    </cfRule>
    <cfRule type="cellIs" dxfId="47" priority="33" operator="greaterThan">
      <formula>$C$15-2.5</formula>
    </cfRule>
  </conditionalFormatting>
  <conditionalFormatting sqref="I38">
    <cfRule type="cellIs" dxfId="46" priority="30" operator="lessThan">
      <formula>$C$15-5</formula>
    </cfRule>
    <cfRule type="cellIs" dxfId="45" priority="31" operator="greaterThan">
      <formula>$C$15-5</formula>
    </cfRule>
  </conditionalFormatting>
  <conditionalFormatting sqref="F16:G16">
    <cfRule type="cellIs" dxfId="44" priority="24" operator="equal">
      <formula>"Atenção para tensão cisalhante"</formula>
    </cfRule>
    <cfRule type="cellIs" dxfId="43" priority="25" operator="equal">
      <formula>"Tensão cisalhante excessiva"</formula>
    </cfRule>
    <cfRule type="cellIs" dxfId="42" priority="26" operator="equal">
      <formula>"Tensão cisalhante ok"</formula>
    </cfRule>
  </conditionalFormatting>
  <conditionalFormatting sqref="D16">
    <cfRule type="cellIs" dxfId="41" priority="27" operator="equal">
      <formula>"Tensão na biela ok"</formula>
    </cfRule>
    <cfRule type="cellIs" dxfId="40" priority="28" operator="equal">
      <formula>"Atenção para tensão na biela"</formula>
    </cfRule>
    <cfRule type="cellIs" dxfId="39" priority="29" operator="equal">
      <formula>"Tensão na biela excessiva"</formula>
    </cfRule>
  </conditionalFormatting>
  <conditionalFormatting sqref="H49">
    <cfRule type="cellIs" dxfId="38" priority="21" operator="between">
      <formula>$E$15*0.8</formula>
      <formula>$E$15</formula>
    </cfRule>
    <cfRule type="cellIs" dxfId="37" priority="22" operator="between">
      <formula>0</formula>
      <formula>$E$15*0.8</formula>
    </cfRule>
    <cfRule type="cellIs" dxfId="36" priority="23" operator="greaterThan">
      <formula>$E$15</formula>
    </cfRule>
  </conditionalFormatting>
  <conditionalFormatting sqref="H51">
    <cfRule type="cellIs" dxfId="35" priority="18" operator="equal">
      <formula>"Tensão na biela ok"</formula>
    </cfRule>
    <cfRule type="cellIs" dxfId="34" priority="19" operator="equal">
      <formula>"Atenção para tensão na biela"</formula>
    </cfRule>
    <cfRule type="cellIs" dxfId="33" priority="20" operator="equal">
      <formula>"Tensão na biela excessiva"</formula>
    </cfRule>
  </conditionalFormatting>
  <conditionalFormatting sqref="H52">
    <cfRule type="cellIs" dxfId="32" priority="14" operator="between">
      <formula>$H$53*0.8</formula>
      <formula>$H$53</formula>
    </cfRule>
    <cfRule type="cellIs" dxfId="31" priority="15" operator="between">
      <formula>0</formula>
      <formula>$H$53*0.8</formula>
    </cfRule>
    <cfRule type="cellIs" dxfId="30" priority="16" operator="greaterThan">
      <formula>$H$53</formula>
    </cfRule>
  </conditionalFormatting>
  <conditionalFormatting sqref="H92">
    <cfRule type="cellIs" dxfId="29" priority="11" operator="equal">
      <formula>"Atenção para tensão cisalhante"</formula>
    </cfRule>
    <cfRule type="cellIs" dxfId="28" priority="12" operator="equal">
      <formula>"Tensão cisalhante excessiva"</formula>
    </cfRule>
    <cfRule type="cellIs" dxfId="27" priority="13" operator="equal">
      <formula>"Tensão cisalhante ok"</formula>
    </cfRule>
  </conditionalFormatting>
  <conditionalFormatting sqref="H93">
    <cfRule type="cellIs" dxfId="26" priority="5" operator="between">
      <formula>$H$94*0.8</formula>
      <formula>$H$94</formula>
    </cfRule>
    <cfRule type="cellIs" dxfId="25" priority="6" operator="between">
      <formula>0</formula>
      <formula>$H$94*0.8</formula>
    </cfRule>
    <cfRule type="cellIs" dxfId="24" priority="7" operator="greaterThan">
      <formula>$H$94</formula>
    </cfRule>
  </conditionalFormatting>
  <conditionalFormatting sqref="C19:G19">
    <cfRule type="expression" dxfId="23" priority="4">
      <formula>$G$19="Viga em Balanço"</formula>
    </cfRule>
  </conditionalFormatting>
  <conditionalFormatting sqref="C39:H39">
    <cfRule type="expression" dxfId="22" priority="37">
      <formula>$H$39="Checar!"</formula>
    </cfRule>
    <cfRule type="expression" dxfId="21" priority="41">
      <formula>$H$39="ok!"</formula>
    </cfRule>
  </conditionalFormatting>
  <dataValidations count="7">
    <dataValidation type="list" allowBlank="1" showInputMessage="1" showErrorMessage="1" promptTitle="Concretagem" sqref="I11" xr:uid="{99A6D1FB-3710-46E1-B270-407D457455B6}">
      <formula1>"1ª Fase,2ª Fase"</formula1>
    </dataValidation>
    <dataValidation type="list" allowBlank="1" showInputMessage="1" showErrorMessage="1" sqref="G33" xr:uid="{D8CD976A-2880-4890-A414-F1B11957F0F6}">
      <formula1>"Laço,Barra Soldada"</formula1>
    </dataValidation>
    <dataValidation type="list" allowBlank="1" showInputMessage="1" showErrorMessage="1" sqref="H33:H34" xr:uid="{BF7A0E03-DF2C-4BF6-A2C6-A0EE3DBCAE5A}">
      <formula1>"Sem gancho, Com gancho"</formula1>
    </dataValidation>
    <dataValidation type="list" allowBlank="1" showInputMessage="1" showErrorMessage="1" sqref="I34" xr:uid="{40D85C33-1FAE-47FE-9CBC-AFA07EC691B7}">
      <formula1>"2/3*d,distribuída"</formula1>
    </dataValidation>
    <dataValidation type="list" allowBlank="1" showInputMessage="1" showErrorMessage="1" sqref="I33" xr:uid="{C3FA2105-2E6E-43B9-B288-3B52D58F7D7C}">
      <formula1>"1ª Camada,2ª Camadas"</formula1>
    </dataValidation>
    <dataValidation type="list" allowBlank="1" sqref="C6" xr:uid="{BDBA2869-8808-4198-A61A-DD3FED6EA01E}">
      <formula1>"30,35,40,45,50"</formula1>
    </dataValidation>
    <dataValidation type="list" allowBlank="1" sqref="I7" xr:uid="{9D2F9163-5BD2-4FBD-9A27-C9BFAABDCA75}">
      <mc:AlternateContent xmlns:x12ac="http://schemas.microsoft.com/office/spreadsheetml/2011/1/ac" xmlns:mc="http://schemas.openxmlformats.org/markup-compatibility/2006">
        <mc:Choice Requires="x12ac">
          <x12ac:list>"1,3","1,4"</x12ac:list>
        </mc:Choice>
        <mc:Fallback>
          <formula1>"1,3,1,4"</formula1>
        </mc:Fallback>
      </mc:AlternateContent>
    </dataValidation>
  </dataValidations>
  <printOptions horizontalCentered="1" verticalCentered="1"/>
  <pageMargins left="7.874015748031496E-2" right="7.874015748031496E-2" top="7.874015748031496E-2" bottom="7.874015748031496E-2" header="7.874015748031496E-2" footer="7.874015748031496E-2"/>
  <pageSetup paperSize="9" scale="92" fitToWidth="0" fitToHeight="0" orientation="landscape" r:id="rId1"/>
  <rowBreaks count="3" manualBreakCount="3">
    <brk id="40" max="16383" man="1"/>
    <brk id="81" min="1" max="8" man="1"/>
    <brk id="121" min="1" max="8" man="1"/>
  </rowBreaks>
  <drawing r:id="rId2"/>
  <legacyDrawing r:id="rId3"/>
  <controls>
    <mc:AlternateContent xmlns:mc="http://schemas.openxmlformats.org/markup-compatibility/2006">
      <mc:Choice Requires="x14">
        <control shapeId="2061" r:id="rId4" name="CommandButton4">
          <controlPr defaultSize="0" autoFill="0" autoLine="0" r:id="rId5">
            <anchor moveWithCells="1">
              <from>
                <xdr:col>6</xdr:col>
                <xdr:colOff>971550</xdr:colOff>
                <xdr:row>25</xdr:row>
                <xdr:rowOff>66675</xdr:rowOff>
              </from>
              <to>
                <xdr:col>7</xdr:col>
                <xdr:colOff>1295400</xdr:colOff>
                <xdr:row>26</xdr:row>
                <xdr:rowOff>171450</xdr:rowOff>
              </to>
            </anchor>
          </controlPr>
        </control>
      </mc:Choice>
      <mc:Fallback>
        <control shapeId="2061" r:id="rId4" name="CommandButton4"/>
      </mc:Fallback>
    </mc:AlternateContent>
    <mc:AlternateContent xmlns:mc="http://schemas.openxmlformats.org/markup-compatibility/2006">
      <mc:Choice Requires="x14">
        <control shapeId="2053" r:id="rId6" name="CommandButton1">
          <controlPr defaultSize="0" autoFill="0" autoLine="0" r:id="rId7">
            <anchor moveWithCells="1">
              <from>
                <xdr:col>6</xdr:col>
                <xdr:colOff>971550</xdr:colOff>
                <xdr:row>21</xdr:row>
                <xdr:rowOff>95250</xdr:rowOff>
              </from>
              <to>
                <xdr:col>7</xdr:col>
                <xdr:colOff>1295400</xdr:colOff>
                <xdr:row>23</xdr:row>
                <xdr:rowOff>9525</xdr:rowOff>
              </to>
            </anchor>
          </controlPr>
        </control>
      </mc:Choice>
      <mc:Fallback>
        <control shapeId="2053" r:id="rId6" name="CommandButton1"/>
      </mc:Fallback>
    </mc:AlternateContent>
    <mc:AlternateContent xmlns:mc="http://schemas.openxmlformats.org/markup-compatibility/2006">
      <mc:Choice Requires="x14">
        <control shapeId="2054" r:id="rId8" name="CommandButton2">
          <controlPr defaultSize="0" autoFill="0" autoLine="0" r:id="rId9">
            <anchor moveWithCells="1">
              <from>
                <xdr:col>6</xdr:col>
                <xdr:colOff>971550</xdr:colOff>
                <xdr:row>23</xdr:row>
                <xdr:rowOff>76200</xdr:rowOff>
              </from>
              <to>
                <xdr:col>7</xdr:col>
                <xdr:colOff>1295400</xdr:colOff>
                <xdr:row>24</xdr:row>
                <xdr:rowOff>180975</xdr:rowOff>
              </to>
            </anchor>
          </controlPr>
        </control>
      </mc:Choice>
      <mc:Fallback>
        <control shapeId="2054" r:id="rId8" name="CommandButton2"/>
      </mc:Fallback>
    </mc:AlternateContent>
    <mc:AlternateContent xmlns:mc="http://schemas.openxmlformats.org/markup-compatibility/2006">
      <mc:Choice Requires="x14">
        <control shapeId="2060" r:id="rId10" name="CommandButton3">
          <controlPr defaultSize="0" autoFill="0" autoLine="0" r:id="rId11">
            <anchor moveWithCells="1">
              <from>
                <xdr:col>6</xdr:col>
                <xdr:colOff>971550</xdr:colOff>
                <xdr:row>27</xdr:row>
                <xdr:rowOff>47625</xdr:rowOff>
              </from>
              <to>
                <xdr:col>7</xdr:col>
                <xdr:colOff>1295400</xdr:colOff>
                <xdr:row>28</xdr:row>
                <xdr:rowOff>152400</xdr:rowOff>
              </to>
            </anchor>
          </controlPr>
        </control>
      </mc:Choice>
      <mc:Fallback>
        <control shapeId="2060" r:id="rId10" name="CommandButton3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" operator="greaterThan" id="{91A044A3-F671-44BB-BE89-0A1A3983AEAD}">
            <xm:f>Cálculo!$C$189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F34</xm:sqref>
        </x14:conditionalFormatting>
        <x14:conditionalFormatting xmlns:xm="http://schemas.microsoft.com/office/excel/2006/main">
          <x14:cfRule type="cellIs" priority="2" operator="greaterThan" id="{E7448AEB-E667-4CFE-9E31-1F05592261F9}">
            <xm:f>Cálculo!$C$151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F33</xm:sqref>
        </x14:conditionalFormatting>
        <x14:conditionalFormatting xmlns:xm="http://schemas.microsoft.com/office/excel/2006/main">
          <x14:cfRule type="expression" priority="1" id="{98F52C1C-7CA2-4488-91EB-25C645653A1B}">
            <xm:f>Cálculo!$C$179&gt;Cálculo!$C$178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D137C9C-FAFD-4296-A86D-4D2AA3CC150B}">
          <x14:formula1>
            <xm:f>Cálculo!$J$13:$J$15</xm:f>
          </x14:formula1>
          <xm:sqref>I10</xm:sqref>
        </x14:dataValidation>
        <x14:dataValidation type="list" allowBlank="1" showInputMessage="1" showErrorMessage="1" xr:uid="{C3F63B0A-7127-4F14-91C9-887FD69BE6DF}">
          <x14:formula1>
            <xm:f>Cálculo!$J$4:$J$9</xm:f>
          </x14:formula1>
          <xm:sqref>I14</xm:sqref>
        </x14:dataValidation>
        <x14:dataValidation type="list" allowBlank="1" showInputMessage="1" showErrorMessage="1" xr:uid="{628EC2D1-FEEE-4FD0-AB2B-09696DE7CE8C}">
          <x14:formula1>
            <xm:f>Cálculo!$J$20:$J$22</xm:f>
          </x14:formula1>
          <xm:sqref>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C29D2-247B-4C75-8073-0F3ED8587C58}">
  <sheetPr codeName="Planilha5"/>
  <dimension ref="A1:B1"/>
  <sheetViews>
    <sheetView workbookViewId="0">
      <selection activeCell="B2" sqref="B2"/>
    </sheetView>
  </sheetViews>
  <sheetFormatPr defaultRowHeight="15"/>
  <sheetData>
    <row r="1" spans="1:2">
      <c r="A1" t="s">
        <v>511</v>
      </c>
      <c r="B1" t="s">
        <v>512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0B55-1B57-418D-87D7-EFB57AFD954E}">
  <sheetPr codeName="Sheet5"/>
  <dimension ref="B1:U40"/>
  <sheetViews>
    <sheetView showGridLines="0" showRowColHeaders="0" zoomScale="110" zoomScaleNormal="110" zoomScaleSheetLayoutView="115" workbookViewId="0"/>
  </sheetViews>
  <sheetFormatPr defaultColWidth="0" defaultRowHeight="0" customHeight="1" zeroHeight="1"/>
  <cols>
    <col min="1" max="1" width="5.7109375" style="205" customWidth="1"/>
    <col min="2" max="2" width="9.5703125" style="205" customWidth="1"/>
    <col min="3" max="15" width="5.7109375" style="205" customWidth="1"/>
    <col min="16" max="16" width="11.28515625" style="205" customWidth="1"/>
    <col min="17" max="17" width="5.7109375" style="205" customWidth="1"/>
    <col min="18" max="18" width="11.28515625" style="205" customWidth="1"/>
    <col min="19" max="19" width="8.85546875" style="205" customWidth="1"/>
    <col min="20" max="20" width="5.7109375" style="205" customWidth="1"/>
    <col min="21" max="21" width="5.7109375" style="205" hidden="1" customWidth="1"/>
    <col min="22" max="16384" width="0" style="205" hidden="1"/>
  </cols>
  <sheetData>
    <row r="1" spans="2:19" s="209" customFormat="1" ht="15" customHeight="1"/>
    <row r="2" spans="2:19" s="209" customFormat="1" ht="20.100000000000001" customHeight="1">
      <c r="G2" s="210"/>
    </row>
    <row r="3" spans="2:19" s="209" customFormat="1" ht="15" customHeight="1">
      <c r="G3" s="211"/>
    </row>
    <row r="4" spans="2:19" ht="15" customHeight="1">
      <c r="B4" s="236" t="s">
        <v>360</v>
      </c>
      <c r="C4" s="237"/>
      <c r="D4" s="237"/>
      <c r="E4" s="237"/>
      <c r="F4" s="237"/>
      <c r="G4" s="237"/>
      <c r="H4" s="237"/>
      <c r="I4" s="237"/>
      <c r="J4" s="237"/>
      <c r="K4" s="237"/>
      <c r="L4" s="237"/>
      <c r="M4" s="237"/>
      <c r="N4" s="237"/>
      <c r="O4" s="237"/>
      <c r="P4" s="237"/>
      <c r="Q4" s="237"/>
      <c r="R4" s="238"/>
    </row>
    <row r="5" spans="2:19" ht="15" customHeight="1">
      <c r="B5" s="239" t="s">
        <v>159</v>
      </c>
      <c r="C5" s="239"/>
      <c r="D5" s="239"/>
      <c r="E5" s="239" t="s">
        <v>361</v>
      </c>
      <c r="F5" s="239"/>
      <c r="G5" s="239"/>
      <c r="H5" s="239" t="s">
        <v>362</v>
      </c>
      <c r="I5" s="239"/>
      <c r="J5" s="239"/>
      <c r="K5" s="239"/>
      <c r="L5" s="239"/>
      <c r="M5" s="239"/>
      <c r="N5" s="239"/>
      <c r="O5" s="240" t="s">
        <v>627</v>
      </c>
      <c r="P5" s="241"/>
      <c r="Q5" s="240" t="s">
        <v>629</v>
      </c>
      <c r="R5" s="241"/>
    </row>
    <row r="6" spans="2:19" ht="15" customHeight="1">
      <c r="B6" s="214" t="s">
        <v>363</v>
      </c>
      <c r="C6" s="239" t="s">
        <v>364</v>
      </c>
      <c r="D6" s="239"/>
      <c r="E6" s="239" t="s">
        <v>28</v>
      </c>
      <c r="F6" s="239"/>
      <c r="G6" s="239"/>
      <c r="H6" s="239" t="s">
        <v>365</v>
      </c>
      <c r="I6" s="239"/>
      <c r="J6" s="239"/>
      <c r="K6" s="239" t="s">
        <v>366</v>
      </c>
      <c r="L6" s="239"/>
      <c r="M6" s="239" t="s">
        <v>367</v>
      </c>
      <c r="N6" s="239"/>
      <c r="O6" s="241"/>
      <c r="P6" s="241"/>
      <c r="Q6" s="241"/>
      <c r="R6" s="241"/>
    </row>
    <row r="7" spans="2:19" ht="15" customHeight="1">
      <c r="B7" s="207" t="s">
        <v>368</v>
      </c>
      <c r="C7" s="233" t="s">
        <v>369</v>
      </c>
      <c r="D7" s="233"/>
      <c r="E7" s="234">
        <v>4</v>
      </c>
      <c r="F7" s="234"/>
      <c r="G7" s="234"/>
      <c r="H7" s="233" t="s">
        <v>386</v>
      </c>
      <c r="I7" s="233"/>
      <c r="J7" s="233"/>
      <c r="K7" s="233" t="s">
        <v>371</v>
      </c>
      <c r="L7" s="233"/>
      <c r="M7" s="233" t="s">
        <v>372</v>
      </c>
      <c r="N7" s="233"/>
      <c r="O7" s="235">
        <v>2.67</v>
      </c>
      <c r="P7" s="235"/>
      <c r="Q7" s="232">
        <v>14.44</v>
      </c>
      <c r="R7" s="232"/>
      <c r="S7" s="212" t="s">
        <v>631</v>
      </c>
    </row>
    <row r="8" spans="2:19" ht="15" customHeight="1">
      <c r="B8" s="207" t="s">
        <v>368</v>
      </c>
      <c r="C8" s="233" t="s">
        <v>369</v>
      </c>
      <c r="D8" s="233"/>
      <c r="E8" s="234">
        <v>4.75</v>
      </c>
      <c r="F8" s="234"/>
      <c r="G8" s="234"/>
      <c r="H8" s="233" t="s">
        <v>513</v>
      </c>
      <c r="I8" s="233"/>
      <c r="J8" s="233"/>
      <c r="K8" s="233" t="s">
        <v>371</v>
      </c>
      <c r="L8" s="233"/>
      <c r="M8" s="233" t="s">
        <v>372</v>
      </c>
      <c r="N8" s="233"/>
      <c r="O8" s="235">
        <v>3.17</v>
      </c>
      <c r="P8" s="235"/>
      <c r="Q8" s="232">
        <v>17.149999999999999</v>
      </c>
      <c r="R8" s="232"/>
      <c r="S8" s="212" t="s">
        <v>631</v>
      </c>
    </row>
    <row r="9" spans="2:19" ht="5.0999999999999996" customHeight="1">
      <c r="S9" s="212"/>
    </row>
    <row r="10" spans="2:19" ht="15" customHeight="1">
      <c r="B10" s="208" t="s">
        <v>373</v>
      </c>
      <c r="C10" s="233" t="s">
        <v>374</v>
      </c>
      <c r="D10" s="233"/>
      <c r="E10" s="234">
        <v>6</v>
      </c>
      <c r="F10" s="234"/>
      <c r="G10" s="234"/>
      <c r="H10" s="233" t="s">
        <v>370</v>
      </c>
      <c r="I10" s="233"/>
      <c r="J10" s="233"/>
      <c r="K10" s="233" t="s">
        <v>372</v>
      </c>
      <c r="L10" s="233"/>
      <c r="M10" s="233" t="s">
        <v>372</v>
      </c>
      <c r="N10" s="233"/>
      <c r="O10" s="235">
        <v>2.4</v>
      </c>
      <c r="P10" s="235"/>
      <c r="Q10" s="235">
        <v>12.84</v>
      </c>
      <c r="R10" s="235"/>
      <c r="S10" s="212" t="s">
        <v>631</v>
      </c>
    </row>
    <row r="11" spans="2:19" ht="15" customHeight="1">
      <c r="B11" s="208" t="s">
        <v>373</v>
      </c>
      <c r="C11" s="233" t="s">
        <v>374</v>
      </c>
      <c r="D11" s="233"/>
      <c r="E11" s="234">
        <v>8</v>
      </c>
      <c r="F11" s="234"/>
      <c r="G11" s="234"/>
      <c r="H11" s="233" t="s">
        <v>375</v>
      </c>
      <c r="I11" s="233"/>
      <c r="J11" s="233"/>
      <c r="K11" s="233" t="s">
        <v>372</v>
      </c>
      <c r="L11" s="233"/>
      <c r="M11" s="233" t="s">
        <v>372</v>
      </c>
      <c r="N11" s="233"/>
      <c r="O11" s="235">
        <v>3.2</v>
      </c>
      <c r="P11" s="235"/>
      <c r="Q11" s="235">
        <v>17.12</v>
      </c>
      <c r="R11" s="235"/>
      <c r="S11" s="212" t="s">
        <v>631</v>
      </c>
    </row>
    <row r="12" spans="2:19" ht="5.0999999999999996" customHeight="1">
      <c r="S12" s="212"/>
    </row>
    <row r="13" spans="2:19" ht="15" customHeight="1">
      <c r="B13" s="208" t="s">
        <v>628</v>
      </c>
      <c r="C13" s="233"/>
      <c r="D13" s="233"/>
      <c r="E13" s="234">
        <v>14</v>
      </c>
      <c r="F13" s="234"/>
      <c r="G13" s="234"/>
      <c r="H13" s="233" t="s">
        <v>393</v>
      </c>
      <c r="I13" s="233"/>
      <c r="J13" s="233"/>
      <c r="K13" s="233" t="s">
        <v>376</v>
      </c>
      <c r="L13" s="233"/>
      <c r="M13" s="233" t="s">
        <v>376</v>
      </c>
      <c r="N13" s="233"/>
      <c r="O13" s="232">
        <v>7</v>
      </c>
      <c r="P13" s="232"/>
      <c r="Q13" s="232">
        <v>5.23</v>
      </c>
      <c r="R13" s="232"/>
      <c r="S13" s="212" t="s">
        <v>630</v>
      </c>
    </row>
    <row r="14" spans="2:19" ht="15" customHeight="1">
      <c r="B14" s="208" t="s">
        <v>628</v>
      </c>
      <c r="C14" s="233"/>
      <c r="D14" s="233"/>
      <c r="E14" s="234">
        <v>10</v>
      </c>
      <c r="F14" s="234"/>
      <c r="G14" s="234"/>
      <c r="H14" s="233" t="s">
        <v>632</v>
      </c>
      <c r="I14" s="233"/>
      <c r="J14" s="233"/>
      <c r="K14" s="233" t="s">
        <v>376</v>
      </c>
      <c r="L14" s="233"/>
      <c r="M14" s="233" t="s">
        <v>376</v>
      </c>
      <c r="N14" s="233"/>
      <c r="O14" s="232">
        <v>5</v>
      </c>
      <c r="P14" s="232"/>
      <c r="Q14" s="235">
        <v>3.73</v>
      </c>
      <c r="R14" s="235"/>
      <c r="S14" s="212" t="s">
        <v>630</v>
      </c>
    </row>
    <row r="15" spans="2:19" ht="15" customHeight="1"/>
    <row r="16" spans="2:19" ht="15" customHeight="1"/>
    <row r="17" spans="2:2" ht="15" customHeight="1"/>
    <row r="18" spans="2:2" ht="15" customHeight="1"/>
    <row r="19" spans="2:2" ht="15" customHeight="1"/>
    <row r="20" spans="2:2" ht="15" customHeight="1"/>
    <row r="21" spans="2:2" ht="15" customHeight="1"/>
    <row r="22" spans="2:2" ht="15" customHeight="1"/>
    <row r="23" spans="2:2" ht="15" customHeight="1"/>
    <row r="24" spans="2:2" ht="15" customHeight="1"/>
    <row r="25" spans="2:2" ht="15" customHeight="1"/>
    <row r="26" spans="2:2" ht="15" customHeight="1"/>
    <row r="27" spans="2:2" ht="15" customHeight="1">
      <c r="B27" s="206" t="s">
        <v>379</v>
      </c>
    </row>
    <row r="28" spans="2:2" ht="15" customHeight="1">
      <c r="B28" s="213" t="s">
        <v>634</v>
      </c>
    </row>
    <row r="29" spans="2:2" ht="15" customHeight="1">
      <c r="B29" s="213" t="s">
        <v>635</v>
      </c>
    </row>
    <row r="30" spans="2:2" ht="15" customHeight="1">
      <c r="B30" s="213" t="s">
        <v>636</v>
      </c>
    </row>
    <row r="31" spans="2:2" ht="15" customHeight="1">
      <c r="B31" s="213" t="s">
        <v>637</v>
      </c>
    </row>
    <row r="32" spans="2:2" ht="25.15" customHeight="1"/>
    <row r="33" s="205" customFormat="1" ht="15" customHeight="1"/>
    <row r="34" s="205" customFormat="1" ht="15" customHeight="1"/>
    <row r="35" s="205" customFormat="1" ht="15" customHeight="1"/>
    <row r="36" s="205" customFormat="1" ht="15" customHeight="1"/>
    <row r="37" s="205" customFormat="1" ht="15" customHeight="1"/>
    <row r="38" s="205" customFormat="1" ht="15" customHeight="1"/>
    <row r="39" s="205" customFormat="1" ht="15" customHeight="1"/>
    <row r="40" s="205" customFormat="1" ht="15" hidden="1" customHeight="1"/>
  </sheetData>
  <sheetProtection algorithmName="SHA-512" hashValue="XIHHO8f7johABiGo6y1xnlB1IXcxF0r4xrGcCnEWY85SvcLtLQGYmwtOs7GEhYL4Esdbtim1fiFlZNu+i26R2w==" saltValue="ShDKjKV/DcwB3PCTvusi8A==" spinCount="100000" sheet="1" objects="1" scenarios="1" selectLockedCells="1"/>
  <mergeCells count="53">
    <mergeCell ref="B4:R4"/>
    <mergeCell ref="B5:D5"/>
    <mergeCell ref="E5:G5"/>
    <mergeCell ref="H5:N5"/>
    <mergeCell ref="O5:P6"/>
    <mergeCell ref="Q5:R6"/>
    <mergeCell ref="C6:D6"/>
    <mergeCell ref="E6:G6"/>
    <mergeCell ref="H6:J6"/>
    <mergeCell ref="K6:L6"/>
    <mergeCell ref="M6:N6"/>
    <mergeCell ref="O7:P7"/>
    <mergeCell ref="Q7:R7"/>
    <mergeCell ref="C8:D8"/>
    <mergeCell ref="E8:G8"/>
    <mergeCell ref="H8:J8"/>
    <mergeCell ref="K8:L8"/>
    <mergeCell ref="M8:N8"/>
    <mergeCell ref="O8:P8"/>
    <mergeCell ref="Q8:R8"/>
    <mergeCell ref="C7:D7"/>
    <mergeCell ref="E7:G7"/>
    <mergeCell ref="H7:J7"/>
    <mergeCell ref="K7:L7"/>
    <mergeCell ref="M7:N7"/>
    <mergeCell ref="Q10:R10"/>
    <mergeCell ref="C11:D11"/>
    <mergeCell ref="E11:G11"/>
    <mergeCell ref="H11:J11"/>
    <mergeCell ref="K11:L11"/>
    <mergeCell ref="M11:N11"/>
    <mergeCell ref="O11:P11"/>
    <mergeCell ref="Q11:R11"/>
    <mergeCell ref="C10:D10"/>
    <mergeCell ref="E10:G10"/>
    <mergeCell ref="H10:J10"/>
    <mergeCell ref="K10:L10"/>
    <mergeCell ref="M10:N10"/>
    <mergeCell ref="O10:P10"/>
    <mergeCell ref="O13:P13"/>
    <mergeCell ref="Q13:R13"/>
    <mergeCell ref="C14:D14"/>
    <mergeCell ref="E14:G14"/>
    <mergeCell ref="H14:J14"/>
    <mergeCell ref="K14:L14"/>
    <mergeCell ref="M14:N14"/>
    <mergeCell ref="O14:P14"/>
    <mergeCell ref="Q14:R14"/>
    <mergeCell ref="C13:D13"/>
    <mergeCell ref="E13:G13"/>
    <mergeCell ref="H13:J13"/>
    <mergeCell ref="K13:L13"/>
    <mergeCell ref="M13:N13"/>
  </mergeCells>
  <printOptions horizontalCentered="1" verticalCentered="1"/>
  <pageMargins left="0.25" right="0.25" top="0.75" bottom="0.75" header="0.3" footer="0.3"/>
  <pageSetup paperSize="9" fitToWidth="0" fitToHeight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C9C76-FF0B-4BFF-A741-C06E092C99ED}">
  <sheetPr codeName="Sheet6">
    <pageSetUpPr fitToPage="1"/>
  </sheetPr>
  <dimension ref="B1:XFC35"/>
  <sheetViews>
    <sheetView showGridLines="0" showRowColHeaders="0" zoomScale="110" zoomScaleNormal="110" zoomScaleSheetLayoutView="115" workbookViewId="0">
      <selection activeCell="S7" sqref="S7"/>
    </sheetView>
  </sheetViews>
  <sheetFormatPr defaultColWidth="0" defaultRowHeight="15" customHeight="1" zeroHeight="1"/>
  <cols>
    <col min="1" max="1" width="5.7109375" style="47" customWidth="1"/>
    <col min="2" max="2" width="9.5703125" style="47" customWidth="1"/>
    <col min="3" max="15" width="5.7109375" style="47" customWidth="1"/>
    <col min="16" max="16" width="11.140625" style="47" customWidth="1"/>
    <col min="17" max="19" width="8.85546875" style="47" customWidth="1"/>
    <col min="20" max="20" width="5.7109375" style="47" customWidth="1"/>
    <col min="21" max="21" width="5.7109375" style="47" hidden="1" customWidth="1"/>
    <col min="22" max="16383" width="9.140625" style="47" hidden="1"/>
    <col min="16384" max="16384" width="0" style="47" hidden="1"/>
  </cols>
  <sheetData>
    <row r="1" spans="2:18" ht="15" customHeight="1"/>
    <row r="2" spans="2:18" ht="20.100000000000001" customHeight="1"/>
    <row r="3" spans="2:18" ht="15" customHeight="1"/>
    <row r="4" spans="2:18" ht="15" customHeight="1">
      <c r="B4" s="246" t="s">
        <v>384</v>
      </c>
      <c r="C4" s="247"/>
      <c r="D4" s="247"/>
      <c r="E4" s="247"/>
      <c r="F4" s="247"/>
      <c r="G4" s="247"/>
      <c r="H4" s="247"/>
      <c r="I4" s="247"/>
      <c r="J4" s="247"/>
      <c r="K4" s="247"/>
      <c r="L4" s="247"/>
      <c r="M4" s="247"/>
      <c r="N4" s="247"/>
      <c r="O4" s="247"/>
      <c r="P4" s="247"/>
      <c r="Q4" s="247"/>
      <c r="R4" s="248"/>
    </row>
    <row r="5" spans="2:18" ht="15" customHeight="1">
      <c r="B5" s="249" t="s">
        <v>159</v>
      </c>
      <c r="C5" s="249"/>
      <c r="D5" s="249"/>
      <c r="E5" s="249" t="s">
        <v>361</v>
      </c>
      <c r="F5" s="249"/>
      <c r="G5" s="249"/>
      <c r="H5" s="249" t="s">
        <v>362</v>
      </c>
      <c r="I5" s="249"/>
      <c r="J5" s="249"/>
      <c r="K5" s="249"/>
      <c r="L5" s="249"/>
      <c r="M5" s="249"/>
      <c r="N5" s="249"/>
      <c r="O5" s="250" t="s">
        <v>433</v>
      </c>
      <c r="P5" s="250"/>
      <c r="Q5" s="250" t="s">
        <v>434</v>
      </c>
      <c r="R5" s="250"/>
    </row>
    <row r="6" spans="2:18" ht="15" customHeight="1">
      <c r="B6" s="59" t="s">
        <v>363</v>
      </c>
      <c r="C6" s="249" t="s">
        <v>364</v>
      </c>
      <c r="D6" s="249"/>
      <c r="E6" s="249" t="s">
        <v>28</v>
      </c>
      <c r="F6" s="249"/>
      <c r="G6" s="249"/>
      <c r="H6" s="249" t="s">
        <v>365</v>
      </c>
      <c r="I6" s="249"/>
      <c r="J6" s="249"/>
      <c r="K6" s="249" t="s">
        <v>366</v>
      </c>
      <c r="L6" s="249"/>
      <c r="M6" s="249" t="s">
        <v>367</v>
      </c>
      <c r="N6" s="249"/>
      <c r="O6" s="250"/>
      <c r="P6" s="250"/>
      <c r="Q6" s="250"/>
      <c r="R6" s="250"/>
    </row>
    <row r="7" spans="2:18" ht="15" customHeight="1">
      <c r="B7" s="56" t="s">
        <v>368</v>
      </c>
      <c r="C7" s="243" t="s">
        <v>385</v>
      </c>
      <c r="D7" s="243"/>
      <c r="E7" s="244">
        <v>4.5</v>
      </c>
      <c r="F7" s="244"/>
      <c r="G7" s="244"/>
      <c r="H7" s="243" t="s">
        <v>386</v>
      </c>
      <c r="I7" s="243"/>
      <c r="J7" s="243"/>
      <c r="K7" s="243" t="s">
        <v>371</v>
      </c>
      <c r="L7" s="243"/>
      <c r="M7" s="243" t="s">
        <v>372</v>
      </c>
      <c r="N7" s="243"/>
      <c r="O7" s="242">
        <v>3</v>
      </c>
      <c r="P7" s="242"/>
      <c r="Q7" s="242">
        <v>10.83</v>
      </c>
      <c r="R7" s="242"/>
    </row>
    <row r="8" spans="2:18" ht="15" customHeight="1">
      <c r="B8" s="56" t="s">
        <v>368</v>
      </c>
      <c r="C8" s="243" t="s">
        <v>385</v>
      </c>
      <c r="D8" s="243"/>
      <c r="E8" s="244">
        <v>10</v>
      </c>
      <c r="F8" s="244"/>
      <c r="G8" s="244"/>
      <c r="H8" s="243" t="s">
        <v>375</v>
      </c>
      <c r="I8" s="243"/>
      <c r="J8" s="243"/>
      <c r="K8" s="243" t="s">
        <v>376</v>
      </c>
      <c r="L8" s="243"/>
      <c r="M8" s="243" t="s">
        <v>372</v>
      </c>
      <c r="N8" s="243"/>
      <c r="O8" s="245">
        <v>6.67</v>
      </c>
      <c r="P8" s="245"/>
      <c r="Q8" s="242">
        <v>25.58</v>
      </c>
      <c r="R8" s="242"/>
    </row>
    <row r="9" spans="2:18" ht="15" customHeight="1"/>
    <row r="10" spans="2:18" ht="15" customHeight="1">
      <c r="B10" s="57" t="s">
        <v>373</v>
      </c>
      <c r="C10" s="243" t="s">
        <v>387</v>
      </c>
      <c r="D10" s="243"/>
      <c r="E10" s="244">
        <v>6.5</v>
      </c>
      <c r="F10" s="244"/>
      <c r="G10" s="244"/>
      <c r="H10" s="243" t="s">
        <v>370</v>
      </c>
      <c r="I10" s="243"/>
      <c r="J10" s="243"/>
      <c r="K10" s="243" t="s">
        <v>372</v>
      </c>
      <c r="L10" s="243"/>
      <c r="M10" s="243" t="s">
        <v>372</v>
      </c>
      <c r="N10" s="243"/>
      <c r="O10" s="242">
        <v>2.17</v>
      </c>
      <c r="P10" s="242"/>
      <c r="Q10" s="242">
        <v>9.27</v>
      </c>
      <c r="R10" s="242"/>
    </row>
    <row r="11" spans="2:18" ht="15" customHeight="1">
      <c r="B11" s="57" t="s">
        <v>373</v>
      </c>
      <c r="C11" s="243" t="s">
        <v>387</v>
      </c>
      <c r="D11" s="243"/>
      <c r="E11" s="244">
        <v>9</v>
      </c>
      <c r="F11" s="244"/>
      <c r="G11" s="244"/>
      <c r="H11" s="243" t="s">
        <v>388</v>
      </c>
      <c r="I11" s="243"/>
      <c r="J11" s="243"/>
      <c r="K11" s="243" t="s">
        <v>376</v>
      </c>
      <c r="L11" s="243"/>
      <c r="M11" s="243" t="s">
        <v>372</v>
      </c>
      <c r="N11" s="243"/>
      <c r="O11" s="242">
        <v>3</v>
      </c>
      <c r="P11" s="242"/>
      <c r="Q11" s="242">
        <v>13.32</v>
      </c>
      <c r="R11" s="242"/>
    </row>
    <row r="12" spans="2:18" ht="15" customHeight="1">
      <c r="B12" s="57" t="s">
        <v>373</v>
      </c>
      <c r="C12" s="243" t="s">
        <v>387</v>
      </c>
      <c r="D12" s="243"/>
      <c r="E12" s="244">
        <v>17</v>
      </c>
      <c r="F12" s="244"/>
      <c r="G12" s="244"/>
      <c r="H12" s="243" t="s">
        <v>389</v>
      </c>
      <c r="I12" s="243"/>
      <c r="J12" s="243"/>
      <c r="K12" s="243" t="s">
        <v>390</v>
      </c>
      <c r="L12" s="243"/>
      <c r="M12" s="243" t="s">
        <v>372</v>
      </c>
      <c r="N12" s="243"/>
      <c r="O12" s="242">
        <v>5.67</v>
      </c>
      <c r="P12" s="242"/>
      <c r="Q12" s="245">
        <v>26.31</v>
      </c>
      <c r="R12" s="245"/>
    </row>
    <row r="13" spans="2:18" ht="15" customHeight="1"/>
    <row r="14" spans="2:18" ht="15" customHeight="1">
      <c r="B14" s="58" t="s">
        <v>391</v>
      </c>
      <c r="C14" s="243" t="s">
        <v>392</v>
      </c>
      <c r="D14" s="243"/>
      <c r="E14" s="244">
        <v>9.5</v>
      </c>
      <c r="F14" s="244"/>
      <c r="G14" s="244"/>
      <c r="H14" s="243" t="s">
        <v>375</v>
      </c>
      <c r="I14" s="243"/>
      <c r="J14" s="243"/>
      <c r="K14" s="243" t="s">
        <v>378</v>
      </c>
      <c r="L14" s="243"/>
      <c r="M14" s="243" t="s">
        <v>376</v>
      </c>
      <c r="N14" s="243"/>
      <c r="O14" s="242">
        <v>2.11</v>
      </c>
      <c r="P14" s="242"/>
      <c r="Q14" s="242">
        <v>10.15</v>
      </c>
      <c r="R14" s="242"/>
    </row>
    <row r="15" spans="2:18" ht="15" customHeight="1">
      <c r="B15" s="58" t="s">
        <v>391</v>
      </c>
      <c r="C15" s="243" t="s">
        <v>392</v>
      </c>
      <c r="D15" s="243"/>
      <c r="E15" s="244">
        <v>15</v>
      </c>
      <c r="F15" s="244"/>
      <c r="G15" s="244"/>
      <c r="H15" s="243" t="s">
        <v>393</v>
      </c>
      <c r="I15" s="243"/>
      <c r="J15" s="243"/>
      <c r="K15" s="243" t="s">
        <v>394</v>
      </c>
      <c r="L15" s="243"/>
      <c r="M15" s="243" t="s">
        <v>376</v>
      </c>
      <c r="N15" s="243"/>
      <c r="O15" s="242">
        <v>3.33</v>
      </c>
      <c r="P15" s="242"/>
      <c r="Q15" s="242">
        <v>16.41</v>
      </c>
      <c r="R15" s="242"/>
    </row>
    <row r="16" spans="2:18" ht="15" customHeight="1">
      <c r="B16" s="58" t="s">
        <v>391</v>
      </c>
      <c r="C16" s="243" t="s">
        <v>392</v>
      </c>
      <c r="D16" s="243"/>
      <c r="E16" s="244">
        <v>24</v>
      </c>
      <c r="F16" s="244"/>
      <c r="G16" s="244"/>
      <c r="H16" s="243" t="s">
        <v>395</v>
      </c>
      <c r="I16" s="243"/>
      <c r="J16" s="243"/>
      <c r="K16" s="243" t="s">
        <v>396</v>
      </c>
      <c r="L16" s="243"/>
      <c r="M16" s="243" t="s">
        <v>376</v>
      </c>
      <c r="N16" s="243"/>
      <c r="O16" s="242">
        <v>5.33</v>
      </c>
      <c r="P16" s="242"/>
      <c r="Q16" s="245">
        <v>26.98</v>
      </c>
      <c r="R16" s="245"/>
    </row>
    <row r="17" spans="2:2" ht="15" customHeight="1"/>
    <row r="18" spans="2:2" ht="15" customHeight="1"/>
    <row r="19" spans="2:2" ht="15" customHeight="1"/>
    <row r="20" spans="2:2" ht="15" customHeight="1"/>
    <row r="21" spans="2:2" ht="15" customHeight="1"/>
    <row r="22" spans="2:2" ht="15" customHeight="1"/>
    <row r="23" spans="2:2" ht="15" customHeight="1"/>
    <row r="24" spans="2:2" ht="15" customHeight="1"/>
    <row r="25" spans="2:2" ht="15" customHeight="1"/>
    <row r="26" spans="2:2" ht="15" customHeight="1"/>
    <row r="27" spans="2:2" ht="15" customHeight="1"/>
    <row r="28" spans="2:2" ht="15" customHeight="1"/>
    <row r="29" spans="2:2" ht="15" customHeight="1"/>
    <row r="30" spans="2:2" ht="15" customHeight="1">
      <c r="B30" s="48" t="s">
        <v>379</v>
      </c>
    </row>
    <row r="31" spans="2:2" ht="15" customHeight="1">
      <c r="B31" s="49" t="s">
        <v>380</v>
      </c>
    </row>
    <row r="32" spans="2:2" ht="15" customHeight="1">
      <c r="B32" s="49" t="s">
        <v>381</v>
      </c>
    </row>
    <row r="33" spans="2:2" ht="15" customHeight="1">
      <c r="B33" s="49" t="s">
        <v>382</v>
      </c>
    </row>
    <row r="34" spans="2:2" ht="15" customHeight="1">
      <c r="B34" s="49" t="s">
        <v>383</v>
      </c>
    </row>
    <row r="35" spans="2:2" ht="25.15" customHeight="1"/>
  </sheetData>
  <sheetProtection algorithmName="SHA-512" hashValue="fWces1aMsAIRJYDH49U1gZRN+K+KtvL+XYzOBy3XzFD8Ac7rMMtwjYviyU+TThc/NUU7QuKVF9A6cLcrBFv1tg==" saltValue="2ssJ1omShSKexjyKfdrZRg==" spinCount="100000" sheet="1" objects="1" scenarios="1" selectLockedCells="1"/>
  <mergeCells count="67">
    <mergeCell ref="B4:R4"/>
    <mergeCell ref="B5:D5"/>
    <mergeCell ref="E5:G5"/>
    <mergeCell ref="H5:N5"/>
    <mergeCell ref="O5:P6"/>
    <mergeCell ref="Q5:R6"/>
    <mergeCell ref="C6:D6"/>
    <mergeCell ref="E6:G6"/>
    <mergeCell ref="H6:J6"/>
    <mergeCell ref="K6:L6"/>
    <mergeCell ref="M6:N6"/>
    <mergeCell ref="O7:P7"/>
    <mergeCell ref="Q7:R7"/>
    <mergeCell ref="C8:D8"/>
    <mergeCell ref="E8:G8"/>
    <mergeCell ref="H8:J8"/>
    <mergeCell ref="K8:L8"/>
    <mergeCell ref="M8:N8"/>
    <mergeCell ref="O8:P8"/>
    <mergeCell ref="Q8:R8"/>
    <mergeCell ref="C7:D7"/>
    <mergeCell ref="E7:G7"/>
    <mergeCell ref="H7:J7"/>
    <mergeCell ref="K7:L7"/>
    <mergeCell ref="M7:N7"/>
    <mergeCell ref="Q10:R10"/>
    <mergeCell ref="C11:D11"/>
    <mergeCell ref="E11:G11"/>
    <mergeCell ref="H11:J11"/>
    <mergeCell ref="K11:L11"/>
    <mergeCell ref="M11:N11"/>
    <mergeCell ref="O11:P11"/>
    <mergeCell ref="Q11:R11"/>
    <mergeCell ref="C10:D10"/>
    <mergeCell ref="E10:G10"/>
    <mergeCell ref="H10:J10"/>
    <mergeCell ref="K10:L10"/>
    <mergeCell ref="M10:N10"/>
    <mergeCell ref="O10:P10"/>
    <mergeCell ref="Q12:R12"/>
    <mergeCell ref="C14:D14"/>
    <mergeCell ref="E14:G14"/>
    <mergeCell ref="H14:J14"/>
    <mergeCell ref="K14:L14"/>
    <mergeCell ref="M14:N14"/>
    <mergeCell ref="O14:P14"/>
    <mergeCell ref="Q14:R14"/>
    <mergeCell ref="C12:D12"/>
    <mergeCell ref="E12:G12"/>
    <mergeCell ref="H12:J12"/>
    <mergeCell ref="K12:L12"/>
    <mergeCell ref="M12:N12"/>
    <mergeCell ref="O12:P12"/>
    <mergeCell ref="Q15:R15"/>
    <mergeCell ref="C16:D16"/>
    <mergeCell ref="E16:G16"/>
    <mergeCell ref="H16:J16"/>
    <mergeCell ref="K16:L16"/>
    <mergeCell ref="M16:N16"/>
    <mergeCell ref="O16:P16"/>
    <mergeCell ref="Q16:R16"/>
    <mergeCell ref="C15:D15"/>
    <mergeCell ref="E15:G15"/>
    <mergeCell ref="H15:J15"/>
    <mergeCell ref="K15:L15"/>
    <mergeCell ref="M15:N15"/>
    <mergeCell ref="O15:P15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F1B49-3AF6-452A-ACCC-FBB644086D8C}">
  <sheetPr codeName="Sheet7">
    <pageSetUpPr fitToPage="1"/>
  </sheetPr>
  <dimension ref="B1:XFC35"/>
  <sheetViews>
    <sheetView showGridLines="0" showRowColHeaders="0" zoomScale="110" zoomScaleNormal="110" zoomScaleSheetLayoutView="100" workbookViewId="0"/>
  </sheetViews>
  <sheetFormatPr defaultColWidth="0" defaultRowHeight="15" customHeight="1" zeroHeight="1"/>
  <cols>
    <col min="1" max="1" width="5.7109375" style="47" customWidth="1"/>
    <col min="2" max="2" width="9.5703125" style="47" customWidth="1"/>
    <col min="3" max="15" width="5.7109375" style="47" customWidth="1"/>
    <col min="16" max="16" width="11.140625" style="47" customWidth="1"/>
    <col min="17" max="19" width="8.85546875" style="47" customWidth="1"/>
    <col min="20" max="20" width="5.7109375" style="47" customWidth="1"/>
    <col min="21" max="21" width="9.140625" style="47" hidden="1" customWidth="1"/>
    <col min="22" max="22" width="5.7109375" style="47" hidden="1" customWidth="1"/>
    <col min="23" max="16383" width="9.140625" style="47" hidden="1"/>
    <col min="16384" max="16384" width="0" style="47" hidden="1"/>
  </cols>
  <sheetData>
    <row r="1" spans="2:18" ht="15" customHeight="1"/>
    <row r="2" spans="2:18" ht="20.100000000000001" customHeight="1"/>
    <row r="3" spans="2:18" ht="15" customHeight="1"/>
    <row r="4" spans="2:18" ht="15" customHeight="1">
      <c r="B4" s="246" t="s">
        <v>397</v>
      </c>
      <c r="C4" s="247"/>
      <c r="D4" s="247"/>
      <c r="E4" s="247"/>
      <c r="F4" s="247"/>
      <c r="G4" s="247"/>
      <c r="H4" s="247"/>
      <c r="I4" s="247"/>
      <c r="J4" s="247"/>
      <c r="K4" s="247"/>
      <c r="L4" s="247"/>
      <c r="M4" s="247"/>
      <c r="N4" s="247"/>
      <c r="O4" s="247"/>
      <c r="P4" s="247"/>
      <c r="Q4" s="247"/>
      <c r="R4" s="248"/>
    </row>
    <row r="5" spans="2:18" ht="15" customHeight="1">
      <c r="B5" s="251" t="s">
        <v>159</v>
      </c>
      <c r="C5" s="252"/>
      <c r="D5" s="253"/>
      <c r="E5" s="251" t="s">
        <v>361</v>
      </c>
      <c r="F5" s="252"/>
      <c r="G5" s="253"/>
      <c r="H5" s="251" t="s">
        <v>362</v>
      </c>
      <c r="I5" s="252"/>
      <c r="J5" s="252"/>
      <c r="K5" s="252"/>
      <c r="L5" s="252"/>
      <c r="M5" s="252"/>
      <c r="N5" s="253"/>
      <c r="O5" s="254" t="s">
        <v>433</v>
      </c>
      <c r="P5" s="255"/>
      <c r="Q5" s="254" t="s">
        <v>434</v>
      </c>
      <c r="R5" s="255"/>
    </row>
    <row r="6" spans="2:18" ht="15" customHeight="1">
      <c r="B6" s="59" t="s">
        <v>363</v>
      </c>
      <c r="C6" s="251" t="s">
        <v>364</v>
      </c>
      <c r="D6" s="253"/>
      <c r="E6" s="251" t="s">
        <v>28</v>
      </c>
      <c r="F6" s="252"/>
      <c r="G6" s="253"/>
      <c r="H6" s="251" t="s">
        <v>365</v>
      </c>
      <c r="I6" s="252"/>
      <c r="J6" s="253"/>
      <c r="K6" s="251" t="s">
        <v>366</v>
      </c>
      <c r="L6" s="253"/>
      <c r="M6" s="251" t="s">
        <v>367</v>
      </c>
      <c r="N6" s="253"/>
      <c r="O6" s="256"/>
      <c r="P6" s="257"/>
      <c r="Q6" s="256"/>
      <c r="R6" s="257"/>
    </row>
    <row r="7" spans="2:18" ht="15" customHeight="1">
      <c r="B7" s="56" t="s">
        <v>368</v>
      </c>
      <c r="C7" s="243" t="s">
        <v>398</v>
      </c>
      <c r="D7" s="243"/>
      <c r="E7" s="244">
        <v>4.5</v>
      </c>
      <c r="F7" s="244"/>
      <c r="G7" s="244"/>
      <c r="H7" s="243" t="s">
        <v>386</v>
      </c>
      <c r="I7" s="243"/>
      <c r="J7" s="243"/>
      <c r="K7" s="243" t="s">
        <v>371</v>
      </c>
      <c r="L7" s="243"/>
      <c r="M7" s="243" t="s">
        <v>372</v>
      </c>
      <c r="N7" s="243"/>
      <c r="O7" s="242">
        <v>2.25</v>
      </c>
      <c r="P7" s="242"/>
      <c r="Q7" s="242">
        <v>8.1199999999999992</v>
      </c>
      <c r="R7" s="242"/>
    </row>
    <row r="8" spans="2:18" ht="15" customHeight="1">
      <c r="B8" s="56" t="s">
        <v>368</v>
      </c>
      <c r="C8" s="243" t="s">
        <v>398</v>
      </c>
      <c r="D8" s="243"/>
      <c r="E8" s="244">
        <v>7.5</v>
      </c>
      <c r="F8" s="244"/>
      <c r="G8" s="244"/>
      <c r="H8" s="243" t="s">
        <v>370</v>
      </c>
      <c r="I8" s="243"/>
      <c r="J8" s="243"/>
      <c r="K8" s="243" t="s">
        <v>372</v>
      </c>
      <c r="L8" s="243"/>
      <c r="M8" s="243" t="s">
        <v>372</v>
      </c>
      <c r="N8" s="243"/>
      <c r="O8" s="242">
        <v>3.75</v>
      </c>
      <c r="P8" s="242"/>
      <c r="Q8" s="242">
        <v>14.39</v>
      </c>
      <c r="R8" s="242"/>
    </row>
    <row r="9" spans="2:18" ht="15" customHeight="1">
      <c r="B9" s="56" t="s">
        <v>368</v>
      </c>
      <c r="C9" s="243" t="s">
        <v>398</v>
      </c>
      <c r="D9" s="243"/>
      <c r="E9" s="244">
        <v>13.5</v>
      </c>
      <c r="F9" s="244"/>
      <c r="G9" s="244"/>
      <c r="H9" s="243" t="s">
        <v>393</v>
      </c>
      <c r="I9" s="243"/>
      <c r="J9" s="243"/>
      <c r="K9" s="243" t="s">
        <v>376</v>
      </c>
      <c r="L9" s="243"/>
      <c r="M9" s="243" t="s">
        <v>372</v>
      </c>
      <c r="N9" s="243"/>
      <c r="O9" s="242">
        <v>6.75</v>
      </c>
      <c r="P9" s="242"/>
      <c r="Q9" s="245">
        <v>28.46</v>
      </c>
      <c r="R9" s="245"/>
    </row>
    <row r="10" spans="2:18" ht="15" customHeight="1"/>
    <row r="11" spans="2:18" ht="15" customHeight="1">
      <c r="B11" s="57" t="s">
        <v>373</v>
      </c>
      <c r="C11" s="243" t="s">
        <v>399</v>
      </c>
      <c r="D11" s="243"/>
      <c r="E11" s="244">
        <v>10</v>
      </c>
      <c r="F11" s="244"/>
      <c r="G11" s="244"/>
      <c r="H11" s="243" t="s">
        <v>375</v>
      </c>
      <c r="I11" s="243"/>
      <c r="J11" s="243"/>
      <c r="K11" s="243" t="s">
        <v>376</v>
      </c>
      <c r="L11" s="243"/>
      <c r="M11" s="243" t="s">
        <v>376</v>
      </c>
      <c r="N11" s="243"/>
      <c r="O11" s="242">
        <v>2.5</v>
      </c>
      <c r="P11" s="242"/>
      <c r="Q11" s="242">
        <v>10.7</v>
      </c>
      <c r="R11" s="242"/>
    </row>
    <row r="12" spans="2:18" ht="15" customHeight="1">
      <c r="B12" s="57" t="s">
        <v>373</v>
      </c>
      <c r="C12" s="243" t="s">
        <v>399</v>
      </c>
      <c r="D12" s="243"/>
      <c r="E12" s="244">
        <v>16</v>
      </c>
      <c r="F12" s="244"/>
      <c r="G12" s="244"/>
      <c r="H12" s="243" t="s">
        <v>393</v>
      </c>
      <c r="I12" s="243"/>
      <c r="J12" s="243"/>
      <c r="K12" s="243" t="s">
        <v>390</v>
      </c>
      <c r="L12" s="243"/>
      <c r="M12" s="243" t="s">
        <v>376</v>
      </c>
      <c r="N12" s="243"/>
      <c r="O12" s="242">
        <v>4</v>
      </c>
      <c r="P12" s="242"/>
      <c r="Q12" s="242">
        <v>17.760000000000002</v>
      </c>
      <c r="R12" s="242"/>
    </row>
    <row r="13" spans="2:18" ht="15" customHeight="1">
      <c r="B13" s="57" t="s">
        <v>373</v>
      </c>
      <c r="C13" s="243" t="s">
        <v>399</v>
      </c>
      <c r="D13" s="243"/>
      <c r="E13" s="244">
        <v>24</v>
      </c>
      <c r="F13" s="244"/>
      <c r="G13" s="244"/>
      <c r="H13" s="243" t="s">
        <v>395</v>
      </c>
      <c r="I13" s="243"/>
      <c r="J13" s="243"/>
      <c r="K13" s="243" t="s">
        <v>400</v>
      </c>
      <c r="L13" s="243"/>
      <c r="M13" s="243" t="s">
        <v>376</v>
      </c>
      <c r="N13" s="243"/>
      <c r="O13" s="242">
        <v>6</v>
      </c>
      <c r="P13" s="242"/>
      <c r="Q13" s="245">
        <v>27.86</v>
      </c>
      <c r="R13" s="245"/>
    </row>
    <row r="14" spans="2:18" ht="15" customHeight="1"/>
    <row r="15" spans="2:18" ht="15" customHeight="1">
      <c r="B15" s="58" t="s">
        <v>391</v>
      </c>
      <c r="C15" s="243" t="s">
        <v>401</v>
      </c>
      <c r="D15" s="243"/>
      <c r="E15" s="244">
        <v>6</v>
      </c>
      <c r="F15" s="244"/>
      <c r="G15" s="244"/>
      <c r="H15" s="243" t="s">
        <v>377</v>
      </c>
      <c r="I15" s="243"/>
      <c r="J15" s="243"/>
      <c r="K15" s="243" t="s">
        <v>378</v>
      </c>
      <c r="L15" s="243"/>
      <c r="M15" s="243" t="s">
        <v>376</v>
      </c>
      <c r="N15" s="243"/>
      <c r="O15" s="242">
        <v>1</v>
      </c>
      <c r="P15" s="242"/>
      <c r="Q15" s="242">
        <v>4.8099999999999996</v>
      </c>
      <c r="R15" s="242"/>
    </row>
    <row r="16" spans="2:18" ht="15" customHeight="1">
      <c r="B16" s="58" t="s">
        <v>391</v>
      </c>
      <c r="C16" s="243" t="s">
        <v>401</v>
      </c>
      <c r="D16" s="243"/>
      <c r="E16" s="244">
        <v>15</v>
      </c>
      <c r="F16" s="244"/>
      <c r="G16" s="244"/>
      <c r="H16" s="243" t="s">
        <v>393</v>
      </c>
      <c r="I16" s="243"/>
      <c r="J16" s="243"/>
      <c r="K16" s="243" t="s">
        <v>378</v>
      </c>
      <c r="L16" s="243"/>
      <c r="M16" s="243" t="s">
        <v>376</v>
      </c>
      <c r="N16" s="243"/>
      <c r="O16" s="242">
        <v>2.5</v>
      </c>
      <c r="P16" s="242"/>
      <c r="Q16" s="242">
        <v>12.31</v>
      </c>
      <c r="R16" s="242"/>
    </row>
    <row r="17" spans="2:18" ht="15" customHeight="1">
      <c r="B17" s="58" t="s">
        <v>391</v>
      </c>
      <c r="C17" s="243" t="s">
        <v>401</v>
      </c>
      <c r="D17" s="243"/>
      <c r="E17" s="244">
        <v>24</v>
      </c>
      <c r="F17" s="244"/>
      <c r="G17" s="244"/>
      <c r="H17" s="243" t="s">
        <v>395</v>
      </c>
      <c r="I17" s="243"/>
      <c r="J17" s="243"/>
      <c r="K17" s="243" t="s">
        <v>402</v>
      </c>
      <c r="L17" s="243"/>
      <c r="M17" s="243" t="s">
        <v>376</v>
      </c>
      <c r="N17" s="243"/>
      <c r="O17" s="242">
        <v>4</v>
      </c>
      <c r="P17" s="242"/>
      <c r="Q17" s="242">
        <v>20.239999999999998</v>
      </c>
      <c r="R17" s="242"/>
    </row>
    <row r="18" spans="2:18" ht="15" customHeight="1">
      <c r="B18" s="58" t="s">
        <v>391</v>
      </c>
      <c r="C18" s="243" t="s">
        <v>401</v>
      </c>
      <c r="D18" s="243"/>
      <c r="E18" s="244">
        <v>32</v>
      </c>
      <c r="F18" s="244"/>
      <c r="G18" s="244"/>
      <c r="H18" s="243" t="s">
        <v>403</v>
      </c>
      <c r="I18" s="243"/>
      <c r="J18" s="243"/>
      <c r="K18" s="243" t="s">
        <v>402</v>
      </c>
      <c r="L18" s="243"/>
      <c r="M18" s="243" t="s">
        <v>376</v>
      </c>
      <c r="N18" s="243"/>
      <c r="O18" s="242">
        <v>5.33</v>
      </c>
      <c r="P18" s="242"/>
      <c r="Q18" s="245">
        <v>26.98</v>
      </c>
      <c r="R18" s="245"/>
    </row>
    <row r="19" spans="2:18" ht="15" customHeight="1"/>
    <row r="20" spans="2:18" ht="15" customHeight="1"/>
    <row r="21" spans="2:18" ht="15" customHeight="1"/>
    <row r="22" spans="2:18" ht="15" customHeight="1"/>
    <row r="23" spans="2:18" ht="15" customHeight="1"/>
    <row r="24" spans="2:18" ht="15" customHeight="1"/>
    <row r="25" spans="2:18" ht="15" customHeight="1"/>
    <row r="26" spans="2:18" ht="15" customHeight="1"/>
    <row r="27" spans="2:18" ht="15" customHeight="1"/>
    <row r="28" spans="2:18" ht="15" customHeight="1"/>
    <row r="29" spans="2:18" ht="15" customHeight="1"/>
    <row r="30" spans="2:18" ht="15" customHeight="1">
      <c r="B30" s="48" t="s">
        <v>379</v>
      </c>
    </row>
    <row r="31" spans="2:18" ht="15" customHeight="1">
      <c r="B31" s="49" t="s">
        <v>380</v>
      </c>
    </row>
    <row r="32" spans="2:18" ht="15" customHeight="1">
      <c r="B32" s="49" t="s">
        <v>381</v>
      </c>
    </row>
    <row r="33" spans="2:2" ht="15" customHeight="1">
      <c r="B33" s="49" t="s">
        <v>382</v>
      </c>
    </row>
    <row r="34" spans="2:2" ht="15" customHeight="1">
      <c r="B34" s="49" t="s">
        <v>383</v>
      </c>
    </row>
    <row r="35" spans="2:2" ht="25.15" customHeight="1"/>
  </sheetData>
  <sheetProtection algorithmName="SHA-512" hashValue="5y5/t5BVNA+wVJwPp8VQmEeZ4GwyMIC+rueUnMEbmCIi0J6hYMIC6iVtpr738mHKsAMJPy8LLe4kmHIw0+IWlA==" saltValue="Pt9LYxxHpFsPn25WiS6fHQ==" spinCount="100000" sheet="1" objects="1" scenarios="1" selectLockedCells="1"/>
  <mergeCells count="81">
    <mergeCell ref="B4:R4"/>
    <mergeCell ref="B5:D5"/>
    <mergeCell ref="E5:G5"/>
    <mergeCell ref="H5:N5"/>
    <mergeCell ref="O5:P6"/>
    <mergeCell ref="Q5:R6"/>
    <mergeCell ref="C6:D6"/>
    <mergeCell ref="E6:G6"/>
    <mergeCell ref="H6:J6"/>
    <mergeCell ref="K6:L6"/>
    <mergeCell ref="M6:N6"/>
    <mergeCell ref="O7:P7"/>
    <mergeCell ref="Q7:R7"/>
    <mergeCell ref="C8:D8"/>
    <mergeCell ref="E8:G8"/>
    <mergeCell ref="H8:J8"/>
    <mergeCell ref="K8:L8"/>
    <mergeCell ref="M8:N8"/>
    <mergeCell ref="O8:P8"/>
    <mergeCell ref="Q8:R8"/>
    <mergeCell ref="C7:D7"/>
    <mergeCell ref="E7:G7"/>
    <mergeCell ref="H7:J7"/>
    <mergeCell ref="K7:L7"/>
    <mergeCell ref="M7:N7"/>
    <mergeCell ref="Q9:R9"/>
    <mergeCell ref="C11:D11"/>
    <mergeCell ref="E11:G11"/>
    <mergeCell ref="H11:J11"/>
    <mergeCell ref="K11:L11"/>
    <mergeCell ref="M11:N11"/>
    <mergeCell ref="O11:P11"/>
    <mergeCell ref="Q11:R11"/>
    <mergeCell ref="C9:D9"/>
    <mergeCell ref="E9:G9"/>
    <mergeCell ref="H9:J9"/>
    <mergeCell ref="K9:L9"/>
    <mergeCell ref="M9:N9"/>
    <mergeCell ref="O9:P9"/>
    <mergeCell ref="Q12:R12"/>
    <mergeCell ref="C13:D13"/>
    <mergeCell ref="E13:G13"/>
    <mergeCell ref="H13:J13"/>
    <mergeCell ref="K13:L13"/>
    <mergeCell ref="M13:N13"/>
    <mergeCell ref="O13:P13"/>
    <mergeCell ref="Q13:R13"/>
    <mergeCell ref="C12:D12"/>
    <mergeCell ref="E12:G12"/>
    <mergeCell ref="H12:J12"/>
    <mergeCell ref="K12:L12"/>
    <mergeCell ref="M12:N12"/>
    <mergeCell ref="O12:P12"/>
    <mergeCell ref="Q15:R15"/>
    <mergeCell ref="C16:D16"/>
    <mergeCell ref="E16:G16"/>
    <mergeCell ref="H16:J16"/>
    <mergeCell ref="K16:L16"/>
    <mergeCell ref="M16:N16"/>
    <mergeCell ref="O16:P16"/>
    <mergeCell ref="Q16:R16"/>
    <mergeCell ref="C15:D15"/>
    <mergeCell ref="E15:G15"/>
    <mergeCell ref="H15:J15"/>
    <mergeCell ref="K15:L15"/>
    <mergeCell ref="M15:N15"/>
    <mergeCell ref="O15:P15"/>
    <mergeCell ref="Q17:R17"/>
    <mergeCell ref="C18:D18"/>
    <mergeCell ref="E18:G18"/>
    <mergeCell ref="H18:J18"/>
    <mergeCell ref="K18:L18"/>
    <mergeCell ref="M18:N18"/>
    <mergeCell ref="O18:P18"/>
    <mergeCell ref="Q18:R18"/>
    <mergeCell ref="C17:D17"/>
    <mergeCell ref="E17:G17"/>
    <mergeCell ref="H17:J17"/>
    <mergeCell ref="K17:L17"/>
    <mergeCell ref="M17:N17"/>
    <mergeCell ref="O17:P17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4A878-E8F1-4CF5-ADD7-091A475C81EE}">
  <sheetPr codeName="Sheet8">
    <pageSetUpPr fitToPage="1"/>
  </sheetPr>
  <dimension ref="A1:XFC33"/>
  <sheetViews>
    <sheetView showGridLines="0" showRowColHeaders="0" zoomScale="110" zoomScaleNormal="110" workbookViewId="0"/>
  </sheetViews>
  <sheetFormatPr defaultColWidth="0" defaultRowHeight="15" customHeight="1" zeroHeight="1"/>
  <cols>
    <col min="1" max="1" width="5.7109375" style="47" customWidth="1"/>
    <col min="2" max="2" width="9.5703125" style="47" customWidth="1"/>
    <col min="3" max="15" width="5.7109375" style="47" customWidth="1"/>
    <col min="16" max="16" width="11.140625" style="47" customWidth="1"/>
    <col min="17" max="19" width="8.85546875" style="47" customWidth="1"/>
    <col min="20" max="20" width="5.7109375" style="47" customWidth="1"/>
    <col min="21" max="21" width="9.140625" style="47" hidden="1" customWidth="1"/>
    <col min="22" max="22" width="5.7109375" style="47" hidden="1" customWidth="1"/>
    <col min="23" max="16383" width="9.140625" style="47" hidden="1"/>
    <col min="16384" max="16384" width="9.5703125" style="47" hidden="1"/>
  </cols>
  <sheetData>
    <row r="1" spans="2:18" ht="15" customHeight="1"/>
    <row r="2" spans="2:18" ht="20.100000000000001" customHeight="1"/>
    <row r="3" spans="2:18" ht="15" customHeight="1"/>
    <row r="4" spans="2:18" ht="15" customHeight="1">
      <c r="B4" s="246" t="s">
        <v>404</v>
      </c>
      <c r="C4" s="247"/>
      <c r="D4" s="247"/>
      <c r="E4" s="247"/>
      <c r="F4" s="247"/>
      <c r="G4" s="247"/>
      <c r="H4" s="247"/>
      <c r="I4" s="247"/>
      <c r="J4" s="247"/>
      <c r="K4" s="247"/>
      <c r="L4" s="247"/>
      <c r="M4" s="247"/>
      <c r="N4" s="247"/>
      <c r="O4" s="247"/>
      <c r="P4" s="247"/>
      <c r="Q4" s="247"/>
      <c r="R4" s="248"/>
    </row>
    <row r="5" spans="2:18" ht="15" customHeight="1">
      <c r="B5" s="249" t="s">
        <v>159</v>
      </c>
      <c r="C5" s="249"/>
      <c r="D5" s="249"/>
      <c r="E5" s="249" t="s">
        <v>361</v>
      </c>
      <c r="F5" s="249"/>
      <c r="G5" s="249"/>
      <c r="H5" s="249" t="s">
        <v>362</v>
      </c>
      <c r="I5" s="249"/>
      <c r="J5" s="249"/>
      <c r="K5" s="249"/>
      <c r="L5" s="249"/>
      <c r="M5" s="249"/>
      <c r="N5" s="249"/>
      <c r="O5" s="250" t="s">
        <v>433</v>
      </c>
      <c r="P5" s="250"/>
      <c r="Q5" s="250" t="s">
        <v>434</v>
      </c>
      <c r="R5" s="250"/>
    </row>
    <row r="6" spans="2:18" ht="15" customHeight="1">
      <c r="B6" s="59" t="s">
        <v>363</v>
      </c>
      <c r="C6" s="249" t="s">
        <v>364</v>
      </c>
      <c r="D6" s="249"/>
      <c r="E6" s="249" t="s">
        <v>28</v>
      </c>
      <c r="F6" s="249"/>
      <c r="G6" s="249"/>
      <c r="H6" s="249" t="s">
        <v>365</v>
      </c>
      <c r="I6" s="249"/>
      <c r="J6" s="249"/>
      <c r="K6" s="249" t="s">
        <v>366</v>
      </c>
      <c r="L6" s="249"/>
      <c r="M6" s="249" t="s">
        <v>367</v>
      </c>
      <c r="N6" s="249"/>
      <c r="O6" s="250"/>
      <c r="P6" s="250"/>
      <c r="Q6" s="250"/>
      <c r="R6" s="250"/>
    </row>
    <row r="7" spans="2:18" ht="15" customHeight="1">
      <c r="B7" s="57" t="s">
        <v>373</v>
      </c>
      <c r="C7" s="243" t="s">
        <v>405</v>
      </c>
      <c r="D7" s="243"/>
      <c r="E7" s="244">
        <v>10</v>
      </c>
      <c r="F7" s="244"/>
      <c r="G7" s="244"/>
      <c r="H7" s="243" t="s">
        <v>375</v>
      </c>
      <c r="I7" s="243"/>
      <c r="J7" s="243"/>
      <c r="K7" s="243" t="s">
        <v>376</v>
      </c>
      <c r="L7" s="243"/>
      <c r="M7" s="243" t="s">
        <v>376</v>
      </c>
      <c r="N7" s="243"/>
      <c r="O7" s="242">
        <v>2</v>
      </c>
      <c r="P7" s="242"/>
      <c r="Q7" s="242">
        <v>8.56</v>
      </c>
      <c r="R7" s="242"/>
    </row>
    <row r="8" spans="2:18" ht="15" customHeight="1">
      <c r="B8" s="57" t="s">
        <v>373</v>
      </c>
      <c r="C8" s="243" t="s">
        <v>405</v>
      </c>
      <c r="D8" s="243"/>
      <c r="E8" s="244">
        <v>16</v>
      </c>
      <c r="F8" s="244"/>
      <c r="G8" s="244"/>
      <c r="H8" s="243" t="s">
        <v>393</v>
      </c>
      <c r="I8" s="243"/>
      <c r="J8" s="243"/>
      <c r="K8" s="243" t="s">
        <v>406</v>
      </c>
      <c r="L8" s="243"/>
      <c r="M8" s="243" t="s">
        <v>376</v>
      </c>
      <c r="N8" s="243"/>
      <c r="O8" s="242">
        <v>3.2</v>
      </c>
      <c r="P8" s="242"/>
      <c r="Q8" s="242">
        <v>14.21</v>
      </c>
      <c r="R8" s="242"/>
    </row>
    <row r="9" spans="2:18" ht="15" customHeight="1">
      <c r="B9" s="57" t="s">
        <v>373</v>
      </c>
      <c r="C9" s="243" t="s">
        <v>405</v>
      </c>
      <c r="D9" s="243"/>
      <c r="E9" s="244">
        <v>25</v>
      </c>
      <c r="F9" s="244"/>
      <c r="G9" s="244"/>
      <c r="H9" s="243" t="s">
        <v>407</v>
      </c>
      <c r="I9" s="243"/>
      <c r="J9" s="243"/>
      <c r="K9" s="243" t="s">
        <v>408</v>
      </c>
      <c r="L9" s="243"/>
      <c r="M9" s="243" t="s">
        <v>376</v>
      </c>
      <c r="N9" s="243"/>
      <c r="O9" s="242">
        <v>5</v>
      </c>
      <c r="P9" s="242"/>
      <c r="Q9" s="242">
        <v>23.22</v>
      </c>
      <c r="R9" s="242"/>
    </row>
    <row r="10" spans="2:18" ht="15" customHeight="1">
      <c r="B10" s="57" t="s">
        <v>373</v>
      </c>
      <c r="C10" s="243" t="s">
        <v>405</v>
      </c>
      <c r="D10" s="243"/>
      <c r="E10" s="244">
        <v>30</v>
      </c>
      <c r="F10" s="244"/>
      <c r="G10" s="244"/>
      <c r="H10" s="243" t="s">
        <v>409</v>
      </c>
      <c r="I10" s="243"/>
      <c r="J10" s="243"/>
      <c r="K10" s="243" t="s">
        <v>408</v>
      </c>
      <c r="L10" s="243"/>
      <c r="M10" s="243" t="s">
        <v>376</v>
      </c>
      <c r="N10" s="243"/>
      <c r="O10" s="242">
        <v>6</v>
      </c>
      <c r="P10" s="242"/>
      <c r="Q10" s="245">
        <v>27.86</v>
      </c>
      <c r="R10" s="245"/>
    </row>
    <row r="11" spans="2:18" ht="15" customHeight="1"/>
    <row r="12" spans="2:18" ht="15" customHeight="1">
      <c r="B12" s="58" t="s">
        <v>391</v>
      </c>
      <c r="C12" s="243" t="s">
        <v>410</v>
      </c>
      <c r="D12" s="243"/>
      <c r="E12" s="244">
        <v>9</v>
      </c>
      <c r="F12" s="244"/>
      <c r="G12" s="244"/>
      <c r="H12" s="243" t="s">
        <v>375</v>
      </c>
      <c r="I12" s="243"/>
      <c r="J12" s="243"/>
      <c r="K12" s="243" t="s">
        <v>376</v>
      </c>
      <c r="L12" s="243"/>
      <c r="M12" s="243" t="s">
        <v>378</v>
      </c>
      <c r="N12" s="243"/>
      <c r="O12" s="242">
        <v>1.2</v>
      </c>
      <c r="P12" s="242"/>
      <c r="Q12" s="242">
        <v>5.77</v>
      </c>
      <c r="R12" s="242"/>
    </row>
    <row r="13" spans="2:18" ht="15" customHeight="1">
      <c r="B13" s="58" t="s">
        <v>391</v>
      </c>
      <c r="C13" s="243" t="s">
        <v>410</v>
      </c>
      <c r="D13" s="243"/>
      <c r="E13" s="244">
        <v>15</v>
      </c>
      <c r="F13" s="244"/>
      <c r="G13" s="244"/>
      <c r="H13" s="243" t="s">
        <v>393</v>
      </c>
      <c r="I13" s="243"/>
      <c r="J13" s="243"/>
      <c r="K13" s="258" t="s">
        <v>390</v>
      </c>
      <c r="L13" s="259"/>
      <c r="M13" s="243" t="s">
        <v>378</v>
      </c>
      <c r="N13" s="243"/>
      <c r="O13" s="242">
        <v>2</v>
      </c>
      <c r="P13" s="242"/>
      <c r="Q13" s="242">
        <v>9.84</v>
      </c>
      <c r="R13" s="242"/>
    </row>
    <row r="14" spans="2:18" ht="15" customHeight="1">
      <c r="B14" s="58" t="s">
        <v>391</v>
      </c>
      <c r="C14" s="243" t="s">
        <v>410</v>
      </c>
      <c r="D14" s="243"/>
      <c r="E14" s="244">
        <v>24</v>
      </c>
      <c r="F14" s="244"/>
      <c r="G14" s="244"/>
      <c r="H14" s="243" t="s">
        <v>407</v>
      </c>
      <c r="I14" s="243"/>
      <c r="J14" s="243"/>
      <c r="K14" s="258" t="s">
        <v>408</v>
      </c>
      <c r="L14" s="259"/>
      <c r="M14" s="243" t="s">
        <v>378</v>
      </c>
      <c r="N14" s="243"/>
      <c r="O14" s="242">
        <v>3.2</v>
      </c>
      <c r="P14" s="242"/>
      <c r="Q14" s="242">
        <v>16.190000000000001</v>
      </c>
      <c r="R14" s="242"/>
    </row>
    <row r="15" spans="2:18" ht="15" customHeight="1">
      <c r="B15" s="58" t="s">
        <v>391</v>
      </c>
      <c r="C15" s="243" t="s">
        <v>410</v>
      </c>
      <c r="D15" s="243"/>
      <c r="E15" s="244">
        <v>40</v>
      </c>
      <c r="F15" s="244"/>
      <c r="G15" s="244"/>
      <c r="H15" s="243" t="s">
        <v>411</v>
      </c>
      <c r="I15" s="243"/>
      <c r="J15" s="243"/>
      <c r="K15" s="258" t="s">
        <v>412</v>
      </c>
      <c r="L15" s="259"/>
      <c r="M15" s="243" t="s">
        <v>378</v>
      </c>
      <c r="N15" s="243"/>
      <c r="O15" s="242">
        <v>5.33</v>
      </c>
      <c r="P15" s="242"/>
      <c r="Q15" s="245">
        <v>27.97</v>
      </c>
      <c r="R15" s="245"/>
    </row>
    <row r="16" spans="2:18" ht="15" customHeight="1"/>
    <row r="17" spans="2:2" ht="15" customHeight="1"/>
    <row r="18" spans="2:2" ht="15" customHeight="1"/>
    <row r="19" spans="2:2" ht="15" customHeight="1"/>
    <row r="20" spans="2:2" ht="15" customHeight="1"/>
    <row r="21" spans="2:2" ht="15" customHeight="1"/>
    <row r="22" spans="2:2" ht="15" customHeight="1"/>
    <row r="23" spans="2:2" ht="15" customHeight="1"/>
    <row r="24" spans="2:2" ht="15" customHeight="1"/>
    <row r="25" spans="2:2" ht="15" customHeight="1"/>
    <row r="26" spans="2:2" ht="15" customHeight="1"/>
    <row r="27" spans="2:2" ht="15" customHeight="1"/>
    <row r="28" spans="2:2" ht="15" customHeight="1">
      <c r="B28" s="48" t="s">
        <v>379</v>
      </c>
    </row>
    <row r="29" spans="2:2" ht="15" customHeight="1">
      <c r="B29" s="49" t="s">
        <v>380</v>
      </c>
    </row>
    <row r="30" spans="2:2" ht="15" customHeight="1">
      <c r="B30" s="49" t="s">
        <v>381</v>
      </c>
    </row>
    <row r="31" spans="2:2" ht="15" customHeight="1">
      <c r="B31" s="49" t="s">
        <v>382</v>
      </c>
    </row>
    <row r="32" spans="2:2" ht="15" customHeight="1">
      <c r="B32" s="49" t="s">
        <v>383</v>
      </c>
    </row>
    <row r="33" ht="25.15" customHeight="1"/>
  </sheetData>
  <sheetProtection algorithmName="SHA-512" hashValue="XjO8hpySDIuqyqNfdZkGssD0pJnUTKc4/DJiSxF6aKfRPmGixGVDsWIcQ8zYhSuBttVqXaprEab6ZJEd3YwG7Q==" saltValue="+JwghCO9hDRC3UIU2HSeRA==" spinCount="100000" sheet="1" objects="1" scenarios="1" selectLockedCells="1"/>
  <mergeCells count="67">
    <mergeCell ref="B4:R4"/>
    <mergeCell ref="B5:D5"/>
    <mergeCell ref="E5:G5"/>
    <mergeCell ref="H5:N5"/>
    <mergeCell ref="O5:P6"/>
    <mergeCell ref="Q5:R6"/>
    <mergeCell ref="C6:D6"/>
    <mergeCell ref="E6:G6"/>
    <mergeCell ref="H6:J6"/>
    <mergeCell ref="K6:L6"/>
    <mergeCell ref="M6:N6"/>
    <mergeCell ref="O7:P7"/>
    <mergeCell ref="Q7:R7"/>
    <mergeCell ref="C8:D8"/>
    <mergeCell ref="E8:G8"/>
    <mergeCell ref="H8:J8"/>
    <mergeCell ref="K8:L8"/>
    <mergeCell ref="M8:N8"/>
    <mergeCell ref="O8:P8"/>
    <mergeCell ref="Q8:R8"/>
    <mergeCell ref="C7:D7"/>
    <mergeCell ref="E7:G7"/>
    <mergeCell ref="H7:J7"/>
    <mergeCell ref="K7:L7"/>
    <mergeCell ref="M7:N7"/>
    <mergeCell ref="Q9:R9"/>
    <mergeCell ref="C10:D10"/>
    <mergeCell ref="E10:G10"/>
    <mergeCell ref="H10:J10"/>
    <mergeCell ref="K10:L10"/>
    <mergeCell ref="M10:N10"/>
    <mergeCell ref="O10:P10"/>
    <mergeCell ref="Q10:R10"/>
    <mergeCell ref="C9:D9"/>
    <mergeCell ref="E9:G9"/>
    <mergeCell ref="H9:J9"/>
    <mergeCell ref="K9:L9"/>
    <mergeCell ref="M9:N9"/>
    <mergeCell ref="O9:P9"/>
    <mergeCell ref="Q12:R12"/>
    <mergeCell ref="C13:D13"/>
    <mergeCell ref="E13:G13"/>
    <mergeCell ref="H13:J13"/>
    <mergeCell ref="K13:L13"/>
    <mergeCell ref="M13:N13"/>
    <mergeCell ref="O13:P13"/>
    <mergeCell ref="Q13:R13"/>
    <mergeCell ref="C12:D12"/>
    <mergeCell ref="E12:G12"/>
    <mergeCell ref="H12:J12"/>
    <mergeCell ref="K12:L12"/>
    <mergeCell ref="M12:N12"/>
    <mergeCell ref="O12:P12"/>
    <mergeCell ref="Q14:R14"/>
    <mergeCell ref="C15:D15"/>
    <mergeCell ref="E15:G15"/>
    <mergeCell ref="H15:J15"/>
    <mergeCell ref="K15:L15"/>
    <mergeCell ref="M15:N15"/>
    <mergeCell ref="O15:P15"/>
    <mergeCell ref="Q15:R15"/>
    <mergeCell ref="C14:D14"/>
    <mergeCell ref="E14:G14"/>
    <mergeCell ref="H14:J14"/>
    <mergeCell ref="K14:L14"/>
    <mergeCell ref="M14:N14"/>
    <mergeCell ref="O14:P1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B8B7D-DFA6-43AB-BDA8-751482829332}">
  <sheetPr codeName="Sheet9">
    <pageSetUpPr fitToPage="1"/>
  </sheetPr>
  <dimension ref="A1:U34"/>
  <sheetViews>
    <sheetView showGridLines="0" showRowColHeaders="0" zoomScale="110" zoomScaleNormal="110" workbookViewId="0"/>
  </sheetViews>
  <sheetFormatPr defaultColWidth="0" defaultRowHeight="15" customHeight="1" zeroHeight="1"/>
  <cols>
    <col min="1" max="1" width="5.7109375" style="47" customWidth="1"/>
    <col min="2" max="2" width="9.5703125" style="47" customWidth="1"/>
    <col min="3" max="15" width="5.7109375" style="47" customWidth="1"/>
    <col min="16" max="16" width="11.140625" style="47" customWidth="1"/>
    <col min="17" max="19" width="8.85546875" style="47" customWidth="1"/>
    <col min="20" max="20" width="5.7109375" style="47" customWidth="1"/>
    <col min="21" max="21" width="5.7109375" style="47" hidden="1" customWidth="1"/>
    <col min="22" max="16384" width="8.85546875" style="47" hidden="1"/>
  </cols>
  <sheetData>
    <row r="1" spans="2:18" ht="15" customHeight="1"/>
    <row r="2" spans="2:18" ht="20.100000000000001" customHeight="1"/>
    <row r="3" spans="2:18" ht="15" customHeight="1"/>
    <row r="4" spans="2:18" ht="15" customHeight="1">
      <c r="B4" s="260" t="s">
        <v>413</v>
      </c>
      <c r="C4" s="260"/>
      <c r="D4" s="260"/>
      <c r="E4" s="260"/>
      <c r="F4" s="260"/>
      <c r="G4" s="260"/>
      <c r="H4" s="260"/>
      <c r="I4" s="260"/>
      <c r="J4" s="260"/>
      <c r="K4" s="260"/>
      <c r="L4" s="260"/>
      <c r="M4" s="260"/>
      <c r="N4" s="260"/>
      <c r="O4" s="260"/>
      <c r="P4" s="260"/>
      <c r="Q4" s="260"/>
      <c r="R4" s="260"/>
    </row>
    <row r="5" spans="2:18" ht="15" customHeight="1">
      <c r="B5" s="249" t="s">
        <v>159</v>
      </c>
      <c r="C5" s="249"/>
      <c r="D5" s="249"/>
      <c r="E5" s="249" t="s">
        <v>361</v>
      </c>
      <c r="F5" s="249"/>
      <c r="G5" s="249"/>
      <c r="H5" s="249" t="s">
        <v>362</v>
      </c>
      <c r="I5" s="249"/>
      <c r="J5" s="249"/>
      <c r="K5" s="249"/>
      <c r="L5" s="249"/>
      <c r="M5" s="249"/>
      <c r="N5" s="249"/>
      <c r="O5" s="250" t="s">
        <v>433</v>
      </c>
      <c r="P5" s="250"/>
      <c r="Q5" s="250" t="s">
        <v>434</v>
      </c>
      <c r="R5" s="250"/>
    </row>
    <row r="6" spans="2:18" ht="15" customHeight="1">
      <c r="B6" s="59" t="s">
        <v>363</v>
      </c>
      <c r="C6" s="249" t="s">
        <v>364</v>
      </c>
      <c r="D6" s="249"/>
      <c r="E6" s="249" t="s">
        <v>28</v>
      </c>
      <c r="F6" s="249"/>
      <c r="G6" s="249"/>
      <c r="H6" s="249" t="s">
        <v>365</v>
      </c>
      <c r="I6" s="249"/>
      <c r="J6" s="249"/>
      <c r="K6" s="249" t="s">
        <v>366</v>
      </c>
      <c r="L6" s="249"/>
      <c r="M6" s="249" t="s">
        <v>367</v>
      </c>
      <c r="N6" s="249"/>
      <c r="O6" s="250"/>
      <c r="P6" s="250"/>
      <c r="Q6" s="250"/>
      <c r="R6" s="250"/>
    </row>
    <row r="7" spans="2:18" ht="15" customHeight="1">
      <c r="B7" s="57" t="s">
        <v>373</v>
      </c>
      <c r="C7" s="243" t="s">
        <v>414</v>
      </c>
      <c r="D7" s="243"/>
      <c r="E7" s="244">
        <v>10</v>
      </c>
      <c r="F7" s="244"/>
      <c r="G7" s="244"/>
      <c r="H7" s="243" t="s">
        <v>375</v>
      </c>
      <c r="I7" s="243"/>
      <c r="J7" s="243"/>
      <c r="K7" s="243" t="s">
        <v>376</v>
      </c>
      <c r="L7" s="243"/>
      <c r="M7" s="243" t="s">
        <v>378</v>
      </c>
      <c r="N7" s="243"/>
      <c r="O7" s="242">
        <v>1.43</v>
      </c>
      <c r="P7" s="242"/>
      <c r="Q7" s="242">
        <v>6.11</v>
      </c>
      <c r="R7" s="242"/>
    </row>
    <row r="8" spans="2:18" ht="15" customHeight="1">
      <c r="B8" s="57" t="s">
        <v>373</v>
      </c>
      <c r="C8" s="243" t="s">
        <v>414</v>
      </c>
      <c r="D8" s="243"/>
      <c r="E8" s="244">
        <v>16</v>
      </c>
      <c r="F8" s="244"/>
      <c r="G8" s="244"/>
      <c r="H8" s="243" t="s">
        <v>393</v>
      </c>
      <c r="I8" s="243"/>
      <c r="J8" s="243"/>
      <c r="K8" s="243" t="s">
        <v>390</v>
      </c>
      <c r="L8" s="243"/>
      <c r="M8" s="243" t="s">
        <v>378</v>
      </c>
      <c r="N8" s="243"/>
      <c r="O8" s="242">
        <v>2.29</v>
      </c>
      <c r="P8" s="242"/>
      <c r="Q8" s="242">
        <v>10.15</v>
      </c>
      <c r="R8" s="242"/>
    </row>
    <row r="9" spans="2:18" ht="15" customHeight="1">
      <c r="B9" s="57" t="s">
        <v>373</v>
      </c>
      <c r="C9" s="243" t="s">
        <v>414</v>
      </c>
      <c r="D9" s="243"/>
      <c r="E9" s="244">
        <v>25</v>
      </c>
      <c r="F9" s="244"/>
      <c r="G9" s="244"/>
      <c r="H9" s="243" t="s">
        <v>395</v>
      </c>
      <c r="I9" s="243"/>
      <c r="J9" s="243"/>
      <c r="K9" s="243" t="s">
        <v>408</v>
      </c>
      <c r="L9" s="243"/>
      <c r="M9" s="243" t="s">
        <v>378</v>
      </c>
      <c r="N9" s="243"/>
      <c r="O9" s="242">
        <v>3.57</v>
      </c>
      <c r="P9" s="242"/>
      <c r="Q9" s="242">
        <v>16.579999999999998</v>
      </c>
      <c r="R9" s="242"/>
    </row>
    <row r="10" spans="2:18" ht="15" customHeight="1">
      <c r="B10" s="57" t="s">
        <v>373</v>
      </c>
      <c r="C10" s="243" t="s">
        <v>414</v>
      </c>
      <c r="D10" s="243"/>
      <c r="E10" s="244">
        <v>40</v>
      </c>
      <c r="F10" s="244"/>
      <c r="G10" s="244"/>
      <c r="H10" s="243" t="s">
        <v>415</v>
      </c>
      <c r="I10" s="243"/>
      <c r="J10" s="243"/>
      <c r="K10" s="243" t="s">
        <v>377</v>
      </c>
      <c r="L10" s="243"/>
      <c r="M10" s="243" t="s">
        <v>378</v>
      </c>
      <c r="N10" s="243"/>
      <c r="O10" s="242">
        <v>5.71</v>
      </c>
      <c r="P10" s="242"/>
      <c r="Q10" s="245">
        <v>28.17</v>
      </c>
      <c r="R10" s="245"/>
    </row>
    <row r="11" spans="2:18" ht="15" customHeight="1"/>
    <row r="12" spans="2:18" ht="15" customHeight="1">
      <c r="B12" s="58" t="s">
        <v>391</v>
      </c>
      <c r="C12" s="243" t="s">
        <v>416</v>
      </c>
      <c r="D12" s="243"/>
      <c r="E12" s="244">
        <v>12</v>
      </c>
      <c r="F12" s="244"/>
      <c r="G12" s="244"/>
      <c r="H12" s="243" t="s">
        <v>377</v>
      </c>
      <c r="I12" s="243"/>
      <c r="J12" s="243"/>
      <c r="K12" s="243" t="s">
        <v>378</v>
      </c>
      <c r="L12" s="243"/>
      <c r="M12" s="243" t="s">
        <v>390</v>
      </c>
      <c r="N12" s="243"/>
      <c r="O12" s="242">
        <v>1.1399999999999999</v>
      </c>
      <c r="P12" s="242"/>
      <c r="Q12" s="242">
        <v>5.5</v>
      </c>
      <c r="R12" s="242"/>
    </row>
    <row r="13" spans="2:18" ht="15" customHeight="1">
      <c r="B13" s="58" t="s">
        <v>391</v>
      </c>
      <c r="C13" s="243" t="s">
        <v>416</v>
      </c>
      <c r="D13" s="243"/>
      <c r="E13" s="244">
        <v>20</v>
      </c>
      <c r="F13" s="244"/>
      <c r="G13" s="244"/>
      <c r="H13" s="243" t="s">
        <v>417</v>
      </c>
      <c r="I13" s="243"/>
      <c r="J13" s="243"/>
      <c r="K13" s="243" t="s">
        <v>400</v>
      </c>
      <c r="L13" s="243"/>
      <c r="M13" s="243" t="s">
        <v>390</v>
      </c>
      <c r="N13" s="243"/>
      <c r="O13" s="242">
        <v>1.9</v>
      </c>
      <c r="P13" s="242"/>
      <c r="Q13" s="242">
        <v>9.3800000000000008</v>
      </c>
      <c r="R13" s="242"/>
    </row>
    <row r="14" spans="2:18" ht="15" customHeight="1">
      <c r="B14" s="58" t="s">
        <v>391</v>
      </c>
      <c r="C14" s="243" t="s">
        <v>416</v>
      </c>
      <c r="D14" s="243"/>
      <c r="E14" s="244">
        <v>32</v>
      </c>
      <c r="F14" s="244"/>
      <c r="G14" s="244"/>
      <c r="H14" s="243" t="s">
        <v>403</v>
      </c>
      <c r="I14" s="243"/>
      <c r="J14" s="243"/>
      <c r="K14" s="243" t="s">
        <v>402</v>
      </c>
      <c r="L14" s="243"/>
      <c r="M14" s="243" t="s">
        <v>390</v>
      </c>
      <c r="N14" s="243"/>
      <c r="O14" s="242">
        <v>3.05</v>
      </c>
      <c r="P14" s="242"/>
      <c r="Q14" s="242">
        <v>15.42</v>
      </c>
      <c r="R14" s="242"/>
    </row>
    <row r="15" spans="2:18" ht="15" customHeight="1">
      <c r="B15" s="58" t="s">
        <v>391</v>
      </c>
      <c r="C15" s="243" t="s">
        <v>416</v>
      </c>
      <c r="D15" s="243"/>
      <c r="E15" s="244">
        <v>57</v>
      </c>
      <c r="F15" s="244"/>
      <c r="G15" s="244"/>
      <c r="H15" s="243" t="s">
        <v>418</v>
      </c>
      <c r="I15" s="243"/>
      <c r="J15" s="243"/>
      <c r="K15" s="243" t="s">
        <v>412</v>
      </c>
      <c r="L15" s="243"/>
      <c r="M15" s="243" t="s">
        <v>390</v>
      </c>
      <c r="N15" s="243"/>
      <c r="O15" s="242">
        <v>5.43</v>
      </c>
      <c r="P15" s="242"/>
      <c r="Q15" s="245">
        <v>28.47</v>
      </c>
      <c r="R15" s="245"/>
    </row>
    <row r="16" spans="2:18" ht="15" customHeight="1"/>
    <row r="17" spans="2:2" ht="15" customHeight="1"/>
    <row r="18" spans="2:2" ht="15" customHeight="1"/>
    <row r="19" spans="2:2" ht="15" customHeight="1"/>
    <row r="20" spans="2:2" ht="15" customHeight="1"/>
    <row r="21" spans="2:2" ht="15" customHeight="1"/>
    <row r="22" spans="2:2" ht="15" customHeight="1"/>
    <row r="23" spans="2:2" ht="15" customHeight="1"/>
    <row r="24" spans="2:2" ht="15" customHeight="1"/>
    <row r="25" spans="2:2" ht="15" customHeight="1"/>
    <row r="26" spans="2:2" ht="15" customHeight="1"/>
    <row r="27" spans="2:2" ht="15" customHeight="1"/>
    <row r="28" spans="2:2" ht="15" customHeight="1"/>
    <row r="29" spans="2:2" ht="15" customHeight="1">
      <c r="B29" s="48" t="s">
        <v>379</v>
      </c>
    </row>
    <row r="30" spans="2:2" ht="15" customHeight="1">
      <c r="B30" s="49" t="s">
        <v>380</v>
      </c>
    </row>
    <row r="31" spans="2:2" ht="15" customHeight="1">
      <c r="B31" s="49" t="s">
        <v>381</v>
      </c>
    </row>
    <row r="32" spans="2:2" ht="15" customHeight="1">
      <c r="B32" s="49" t="s">
        <v>382</v>
      </c>
    </row>
    <row r="33" spans="2:2" ht="15" customHeight="1">
      <c r="B33" s="49" t="s">
        <v>383</v>
      </c>
    </row>
    <row r="34" spans="2:2" ht="25.15" customHeight="1"/>
  </sheetData>
  <sheetProtection algorithmName="SHA-512" hashValue="cTkLTeYorSukSR1LwwiYqKdVutTAofFt7EU8+zBDQN7PPpdE+39z8rcCV/ltPp+dFjSdnoc97Vigm9Pvl0e6fw==" saltValue="PpwrG/pK3/6D7qwekwa46A==" spinCount="100000" sheet="1" objects="1" scenarios="1" selectLockedCells="1"/>
  <mergeCells count="67">
    <mergeCell ref="B4:R4"/>
    <mergeCell ref="B5:D5"/>
    <mergeCell ref="E5:G5"/>
    <mergeCell ref="H5:N5"/>
    <mergeCell ref="O5:P6"/>
    <mergeCell ref="Q5:R6"/>
    <mergeCell ref="C6:D6"/>
    <mergeCell ref="E6:G6"/>
    <mergeCell ref="H6:J6"/>
    <mergeCell ref="K6:L6"/>
    <mergeCell ref="M6:N6"/>
    <mergeCell ref="O7:P7"/>
    <mergeCell ref="Q7:R7"/>
    <mergeCell ref="C8:D8"/>
    <mergeCell ref="E8:G8"/>
    <mergeCell ref="H8:J8"/>
    <mergeCell ref="K8:L8"/>
    <mergeCell ref="M8:N8"/>
    <mergeCell ref="O8:P8"/>
    <mergeCell ref="Q8:R8"/>
    <mergeCell ref="C7:D7"/>
    <mergeCell ref="E7:G7"/>
    <mergeCell ref="H7:J7"/>
    <mergeCell ref="K7:L7"/>
    <mergeCell ref="M7:N7"/>
    <mergeCell ref="Q9:R9"/>
    <mergeCell ref="C10:D10"/>
    <mergeCell ref="E10:G10"/>
    <mergeCell ref="H10:J10"/>
    <mergeCell ref="K10:L10"/>
    <mergeCell ref="M10:N10"/>
    <mergeCell ref="O10:P10"/>
    <mergeCell ref="Q10:R10"/>
    <mergeCell ref="C9:D9"/>
    <mergeCell ref="E9:G9"/>
    <mergeCell ref="H9:J9"/>
    <mergeCell ref="K9:L9"/>
    <mergeCell ref="M9:N9"/>
    <mergeCell ref="O9:P9"/>
    <mergeCell ref="Q12:R12"/>
    <mergeCell ref="C13:D13"/>
    <mergeCell ref="E13:G13"/>
    <mergeCell ref="H13:J13"/>
    <mergeCell ref="K13:L13"/>
    <mergeCell ref="M13:N13"/>
    <mergeCell ref="O13:P13"/>
    <mergeCell ref="Q13:R13"/>
    <mergeCell ref="C12:D12"/>
    <mergeCell ref="E12:G12"/>
    <mergeCell ref="H12:J12"/>
    <mergeCell ref="K12:L12"/>
    <mergeCell ref="M12:N12"/>
    <mergeCell ref="O12:P12"/>
    <mergeCell ref="Q14:R14"/>
    <mergeCell ref="C15:D15"/>
    <mergeCell ref="E15:G15"/>
    <mergeCell ref="H15:J15"/>
    <mergeCell ref="K15:L15"/>
    <mergeCell ref="M15:N15"/>
    <mergeCell ref="O15:P15"/>
    <mergeCell ref="Q15:R15"/>
    <mergeCell ref="C14:D14"/>
    <mergeCell ref="E14:G14"/>
    <mergeCell ref="H14:J14"/>
    <mergeCell ref="K14:L14"/>
    <mergeCell ref="M14:N14"/>
    <mergeCell ref="O14:P1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9FA97-CFB2-4CF3-8F86-E1F50718A66C}">
  <sheetPr codeName="Sheet10">
    <pageSetUpPr fitToPage="1"/>
  </sheetPr>
  <dimension ref="B1:XFC35"/>
  <sheetViews>
    <sheetView showGridLines="0" showRowColHeaders="0" zoomScale="110" zoomScaleNormal="110" workbookViewId="0"/>
  </sheetViews>
  <sheetFormatPr defaultColWidth="0" defaultRowHeight="15" customHeight="1" zeroHeight="1"/>
  <cols>
    <col min="1" max="1" width="5.7109375" style="47" customWidth="1"/>
    <col min="2" max="2" width="9.5703125" style="47" customWidth="1"/>
    <col min="3" max="15" width="5.7109375" style="47" customWidth="1"/>
    <col min="16" max="16" width="11.140625" style="47" customWidth="1"/>
    <col min="17" max="19" width="8.85546875" style="47" customWidth="1"/>
    <col min="20" max="20" width="5.7109375" style="47" customWidth="1"/>
    <col min="21" max="21" width="9.140625" style="47" hidden="1" customWidth="1"/>
    <col min="22" max="22" width="5.7109375" style="47" hidden="1" customWidth="1"/>
    <col min="23" max="16383" width="9.140625" style="47" hidden="1"/>
    <col min="16384" max="16384" width="0" style="47" hidden="1"/>
  </cols>
  <sheetData>
    <row r="1" spans="2:19" ht="15" customHeight="1"/>
    <row r="2" spans="2:19" ht="20.100000000000001" customHeight="1"/>
    <row r="3" spans="2:19" ht="15" customHeight="1"/>
    <row r="4" spans="2:19" ht="15" customHeight="1">
      <c r="B4" s="261" t="s">
        <v>419</v>
      </c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1"/>
    </row>
    <row r="5" spans="2:19" ht="15" customHeight="1">
      <c r="B5" s="261"/>
      <c r="C5" s="261"/>
      <c r="D5" s="261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61"/>
      <c r="Q5" s="261"/>
      <c r="R5" s="261"/>
      <c r="S5" s="261"/>
    </row>
    <row r="6" spans="2:19" ht="15" customHeight="1"/>
    <row r="7" spans="2:19" ht="15" customHeight="1"/>
    <row r="8" spans="2:19" ht="15" customHeight="1"/>
    <row r="9" spans="2:19" ht="15" customHeight="1"/>
    <row r="10" spans="2:19" ht="15" customHeight="1"/>
    <row r="11" spans="2:19" ht="15" customHeight="1"/>
    <row r="12" spans="2:19" ht="15" customHeight="1"/>
    <row r="13" spans="2:19" ht="15" customHeight="1"/>
    <row r="14" spans="2:19" ht="15" customHeight="1"/>
    <row r="15" spans="2:19" ht="15" customHeight="1"/>
    <row r="16" spans="2:19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25.15" customHeight="1"/>
  </sheetData>
  <sheetProtection algorithmName="SHA-512" hashValue="OT4yJU5K4wmT1g2HxzOmfBScqalboF00KzXkIykuzOZy0+uduCoBrbACqxmnKudpAkTYDdPWWJwAMwoBgJaiKQ==" saltValue="kvMVoAYqz+g34FsVNyeQAg==" spinCount="100000" sheet="1" objects="1" scenarios="1" selectLockedCells="1"/>
  <mergeCells count="1">
    <mergeCell ref="B4:S5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5A622-E55D-4B74-A7AF-7308BF00E581}">
  <sheetPr codeName="Sheet11">
    <pageSetUpPr fitToPage="1"/>
  </sheetPr>
  <dimension ref="A1:XFD47"/>
  <sheetViews>
    <sheetView showGridLines="0" showRowColHeaders="0" zoomScale="110" zoomScaleNormal="110" workbookViewId="0"/>
  </sheetViews>
  <sheetFormatPr defaultColWidth="0" defaultRowHeight="15" customHeight="1" zeroHeight="1"/>
  <cols>
    <col min="1" max="1" width="5.7109375" style="47" customWidth="1"/>
    <col min="2" max="2" width="9.5703125" style="47" customWidth="1"/>
    <col min="3" max="14" width="5.7109375" style="47" customWidth="1"/>
    <col min="15" max="17" width="11.140625" style="47" customWidth="1"/>
    <col min="18" max="18" width="8.85546875" style="47" customWidth="1"/>
    <col min="19" max="19" width="5.7109375" style="47" customWidth="1"/>
    <col min="20" max="20" width="8.85546875" style="47" hidden="1" customWidth="1"/>
    <col min="21" max="16383" width="8.85546875" style="47" hidden="1"/>
    <col min="16384" max="16384" width="8.7109375" style="47" hidden="1" customWidth="1"/>
  </cols>
  <sheetData>
    <row r="1" spans="1:20 16384:16384" ht="15" customHeight="1"/>
    <row r="2" spans="1:20 16384:16384" ht="20.100000000000001" customHeight="1"/>
    <row r="3" spans="1:20 16384:16384" ht="15" customHeight="1"/>
    <row r="4" spans="1:20 16384:16384" ht="15" customHeight="1">
      <c r="G4" s="246" t="s">
        <v>420</v>
      </c>
      <c r="H4" s="247"/>
      <c r="I4" s="247"/>
      <c r="J4" s="247"/>
      <c r="K4" s="247"/>
      <c r="L4" s="247"/>
      <c r="M4" s="247"/>
      <c r="N4" s="247"/>
      <c r="O4" s="247"/>
      <c r="P4" s="247"/>
      <c r="Q4" s="248"/>
    </row>
    <row r="5" spans="1:20 16384:16384" ht="15" customHeight="1">
      <c r="G5" s="249" t="s">
        <v>152</v>
      </c>
      <c r="H5" s="249"/>
      <c r="I5" s="249"/>
      <c r="J5" s="249" t="s">
        <v>421</v>
      </c>
      <c r="K5" s="249"/>
      <c r="L5" s="249"/>
      <c r="M5" s="249" t="s">
        <v>364</v>
      </c>
      <c r="N5" s="249"/>
      <c r="O5" s="59" t="s">
        <v>422</v>
      </c>
      <c r="P5" s="59" t="s">
        <v>423</v>
      </c>
      <c r="Q5" s="59" t="s">
        <v>424</v>
      </c>
      <c r="S5" s="46"/>
      <c r="T5" s="46"/>
    </row>
    <row r="6" spans="1:20 16384:16384" s="50" customFormat="1" ht="15" customHeight="1">
      <c r="A6" s="47"/>
      <c r="B6" s="47"/>
      <c r="C6" s="47"/>
      <c r="D6" s="47"/>
      <c r="E6" s="47"/>
      <c r="F6" s="47"/>
      <c r="G6" s="262">
        <v>15</v>
      </c>
      <c r="H6" s="262"/>
      <c r="I6" s="262"/>
      <c r="J6" s="262">
        <v>20</v>
      </c>
      <c r="K6" s="262"/>
      <c r="L6" s="262"/>
      <c r="M6" s="263" t="s">
        <v>369</v>
      </c>
      <c r="N6" s="263"/>
      <c r="O6" s="54">
        <f t="shared" ref="O6:O17" si="0">J6-10</f>
        <v>10</v>
      </c>
      <c r="P6" s="54">
        <f t="shared" ref="P6:P17" si="1">G6-5</f>
        <v>10</v>
      </c>
      <c r="Q6" s="55">
        <f>(O6*P6)*0.07</f>
        <v>7.0000000000000009</v>
      </c>
      <c r="R6" s="50">
        <v>0</v>
      </c>
      <c r="S6" s="50">
        <v>0</v>
      </c>
      <c r="T6" s="50">
        <f>IF(AND(R6=1,S6=1),1,0)</f>
        <v>0</v>
      </c>
      <c r="XFD6" s="50">
        <f>IF(T6=1,M6,0)</f>
        <v>0</v>
      </c>
    </row>
    <row r="7" spans="1:20 16384:16384" s="50" customFormat="1" ht="15" customHeight="1">
      <c r="A7" s="47"/>
      <c r="B7" s="47"/>
      <c r="C7" s="47"/>
      <c r="D7" s="47"/>
      <c r="E7" s="47"/>
      <c r="F7" s="47"/>
      <c r="G7" s="262">
        <v>15</v>
      </c>
      <c r="H7" s="262"/>
      <c r="I7" s="262"/>
      <c r="J7" s="262">
        <v>30</v>
      </c>
      <c r="K7" s="262"/>
      <c r="L7" s="262"/>
      <c r="M7" s="263" t="s">
        <v>374</v>
      </c>
      <c r="N7" s="263"/>
      <c r="O7" s="54">
        <f t="shared" si="0"/>
        <v>20</v>
      </c>
      <c r="P7" s="54">
        <f t="shared" si="1"/>
        <v>10</v>
      </c>
      <c r="Q7" s="55">
        <f t="shared" ref="Q7:Q17" si="2">(O7*P7)*0.07</f>
        <v>14.000000000000002</v>
      </c>
      <c r="R7" s="50">
        <v>0</v>
      </c>
      <c r="S7" s="50">
        <v>0</v>
      </c>
      <c r="T7" s="50">
        <f t="shared" ref="T7:T17" si="3">IF(AND(R7=1,S7=1),1,0)</f>
        <v>0</v>
      </c>
      <c r="XFD7" s="50">
        <f t="shared" ref="XFD7:XFD17" si="4">IF(T7=1,M7,0)</f>
        <v>0</v>
      </c>
    </row>
    <row r="8" spans="1:20 16384:16384" s="50" customFormat="1" ht="15" customHeight="1">
      <c r="A8" s="47"/>
      <c r="B8" s="47"/>
      <c r="C8" s="47"/>
      <c r="D8" s="47"/>
      <c r="E8" s="47"/>
      <c r="F8" s="47"/>
      <c r="G8" s="262">
        <v>20</v>
      </c>
      <c r="H8" s="262"/>
      <c r="I8" s="262"/>
      <c r="J8" s="262">
        <v>20</v>
      </c>
      <c r="K8" s="262"/>
      <c r="L8" s="262"/>
      <c r="M8" s="263" t="s">
        <v>385</v>
      </c>
      <c r="N8" s="263"/>
      <c r="O8" s="54">
        <f t="shared" si="0"/>
        <v>10</v>
      </c>
      <c r="P8" s="54">
        <f t="shared" si="1"/>
        <v>15</v>
      </c>
      <c r="Q8" s="55">
        <f t="shared" si="2"/>
        <v>10.500000000000002</v>
      </c>
      <c r="R8" s="50">
        <v>0</v>
      </c>
      <c r="S8" s="50">
        <v>0</v>
      </c>
      <c r="T8" s="50">
        <f t="shared" si="3"/>
        <v>0</v>
      </c>
      <c r="XFD8" s="50">
        <f t="shared" si="4"/>
        <v>0</v>
      </c>
    </row>
    <row r="9" spans="1:20 16384:16384" s="50" customFormat="1" ht="15" customHeight="1">
      <c r="A9" s="47"/>
      <c r="B9" s="47"/>
      <c r="C9" s="47"/>
      <c r="D9" s="47"/>
      <c r="E9" s="47"/>
      <c r="F9" s="47"/>
      <c r="G9" s="262">
        <v>20</v>
      </c>
      <c r="H9" s="262"/>
      <c r="I9" s="262"/>
      <c r="J9" s="262">
        <v>30</v>
      </c>
      <c r="K9" s="262"/>
      <c r="L9" s="262"/>
      <c r="M9" s="263" t="s">
        <v>387</v>
      </c>
      <c r="N9" s="263"/>
      <c r="O9" s="54">
        <f t="shared" si="0"/>
        <v>20</v>
      </c>
      <c r="P9" s="54">
        <f t="shared" si="1"/>
        <v>15</v>
      </c>
      <c r="Q9" s="55">
        <f t="shared" si="2"/>
        <v>21.000000000000004</v>
      </c>
      <c r="R9" s="50">
        <v>0</v>
      </c>
      <c r="S9" s="50">
        <v>0</v>
      </c>
      <c r="T9" s="50">
        <f t="shared" si="3"/>
        <v>0</v>
      </c>
      <c r="XFD9" s="50">
        <f t="shared" si="4"/>
        <v>0</v>
      </c>
    </row>
    <row r="10" spans="1:20 16384:16384" s="50" customFormat="1" ht="15" customHeight="1">
      <c r="A10" s="47"/>
      <c r="B10" s="47"/>
      <c r="C10" s="47"/>
      <c r="D10" s="47"/>
      <c r="E10" s="47"/>
      <c r="F10" s="47"/>
      <c r="G10" s="262">
        <v>20</v>
      </c>
      <c r="H10" s="262"/>
      <c r="I10" s="262"/>
      <c r="J10" s="262">
        <v>40</v>
      </c>
      <c r="K10" s="262"/>
      <c r="L10" s="262"/>
      <c r="M10" s="263" t="s">
        <v>392</v>
      </c>
      <c r="N10" s="263"/>
      <c r="O10" s="54">
        <f t="shared" si="0"/>
        <v>30</v>
      </c>
      <c r="P10" s="54">
        <f t="shared" si="1"/>
        <v>15</v>
      </c>
      <c r="Q10" s="55">
        <f t="shared" si="2"/>
        <v>31.500000000000004</v>
      </c>
      <c r="R10" s="50">
        <v>1</v>
      </c>
      <c r="S10" s="50">
        <v>0</v>
      </c>
      <c r="T10" s="50">
        <f t="shared" si="3"/>
        <v>0</v>
      </c>
      <c r="XFD10" s="50">
        <f t="shared" si="4"/>
        <v>0</v>
      </c>
    </row>
    <row r="11" spans="1:20 16384:16384" s="50" customFormat="1" ht="15" customHeight="1">
      <c r="A11" s="47"/>
      <c r="B11" s="47"/>
      <c r="C11" s="47"/>
      <c r="D11" s="47"/>
      <c r="E11" s="47"/>
      <c r="F11" s="47"/>
      <c r="G11" s="262">
        <v>25</v>
      </c>
      <c r="H11" s="262"/>
      <c r="I11" s="262"/>
      <c r="J11" s="262">
        <v>20</v>
      </c>
      <c r="K11" s="262"/>
      <c r="L11" s="262"/>
      <c r="M11" s="263" t="s">
        <v>398</v>
      </c>
      <c r="N11" s="263"/>
      <c r="O11" s="54">
        <f t="shared" si="0"/>
        <v>10</v>
      </c>
      <c r="P11" s="54">
        <f t="shared" si="1"/>
        <v>20</v>
      </c>
      <c r="Q11" s="55">
        <f t="shared" si="2"/>
        <v>14.000000000000002</v>
      </c>
      <c r="R11" s="50">
        <v>0</v>
      </c>
      <c r="S11" s="50">
        <v>1</v>
      </c>
      <c r="T11" s="50">
        <f t="shared" si="3"/>
        <v>0</v>
      </c>
      <c r="XFD11" s="50">
        <f t="shared" si="4"/>
        <v>0</v>
      </c>
    </row>
    <row r="12" spans="1:20 16384:16384" s="50" customFormat="1" ht="15" customHeight="1">
      <c r="A12" s="47"/>
      <c r="B12" s="47"/>
      <c r="C12" s="47"/>
      <c r="D12" s="47"/>
      <c r="E12" s="47"/>
      <c r="F12" s="47"/>
      <c r="G12" s="262">
        <v>25</v>
      </c>
      <c r="H12" s="262"/>
      <c r="I12" s="262"/>
      <c r="J12" s="262">
        <v>30</v>
      </c>
      <c r="K12" s="262"/>
      <c r="L12" s="262"/>
      <c r="M12" s="263" t="s">
        <v>399</v>
      </c>
      <c r="N12" s="263"/>
      <c r="O12" s="54">
        <f t="shared" si="0"/>
        <v>20</v>
      </c>
      <c r="P12" s="54">
        <f t="shared" si="1"/>
        <v>20</v>
      </c>
      <c r="Q12" s="55">
        <f t="shared" si="2"/>
        <v>28.000000000000004</v>
      </c>
      <c r="R12" s="50">
        <v>0</v>
      </c>
      <c r="S12" s="50">
        <v>1</v>
      </c>
      <c r="T12" s="50">
        <f t="shared" si="3"/>
        <v>0</v>
      </c>
      <c r="XFD12" s="50">
        <f t="shared" si="4"/>
        <v>0</v>
      </c>
    </row>
    <row r="13" spans="1:20 16384:16384" s="50" customFormat="1" ht="15" customHeight="1">
      <c r="A13" s="47"/>
      <c r="B13" s="47"/>
      <c r="C13" s="47"/>
      <c r="D13" s="47"/>
      <c r="E13" s="47"/>
      <c r="F13" s="47"/>
      <c r="G13" s="262">
        <v>25</v>
      </c>
      <c r="H13" s="262"/>
      <c r="I13" s="262"/>
      <c r="J13" s="262">
        <v>40</v>
      </c>
      <c r="K13" s="262"/>
      <c r="L13" s="262"/>
      <c r="M13" s="263" t="s">
        <v>401</v>
      </c>
      <c r="N13" s="263"/>
      <c r="O13" s="54">
        <f t="shared" si="0"/>
        <v>30</v>
      </c>
      <c r="P13" s="54">
        <f t="shared" si="1"/>
        <v>20</v>
      </c>
      <c r="Q13" s="55">
        <f t="shared" si="2"/>
        <v>42.000000000000007</v>
      </c>
      <c r="R13" s="50">
        <v>1</v>
      </c>
      <c r="S13" s="50">
        <v>1</v>
      </c>
      <c r="T13" s="50">
        <f t="shared" si="3"/>
        <v>1</v>
      </c>
      <c r="XFD13" s="50" t="str">
        <f t="shared" si="4"/>
        <v>NP8</v>
      </c>
    </row>
    <row r="14" spans="1:20 16384:16384" s="50" customFormat="1" ht="15" customHeight="1">
      <c r="A14" s="47"/>
      <c r="B14" s="47"/>
      <c r="C14" s="47"/>
      <c r="D14" s="47"/>
      <c r="E14" s="47"/>
      <c r="F14" s="47"/>
      <c r="G14" s="262">
        <v>30</v>
      </c>
      <c r="H14" s="262"/>
      <c r="I14" s="262"/>
      <c r="J14" s="262">
        <v>30</v>
      </c>
      <c r="K14" s="262"/>
      <c r="L14" s="262"/>
      <c r="M14" s="263" t="s">
        <v>405</v>
      </c>
      <c r="N14" s="263"/>
      <c r="O14" s="54">
        <f t="shared" si="0"/>
        <v>20</v>
      </c>
      <c r="P14" s="54">
        <f t="shared" si="1"/>
        <v>25</v>
      </c>
      <c r="Q14" s="55">
        <f t="shared" si="2"/>
        <v>35</v>
      </c>
      <c r="R14" s="50">
        <v>0</v>
      </c>
      <c r="S14" s="50">
        <v>0</v>
      </c>
      <c r="T14" s="50">
        <f t="shared" si="3"/>
        <v>0</v>
      </c>
      <c r="XFD14" s="50">
        <f t="shared" si="4"/>
        <v>0</v>
      </c>
    </row>
    <row r="15" spans="1:20 16384:16384" s="50" customFormat="1" ht="15" customHeight="1">
      <c r="A15" s="47"/>
      <c r="B15" s="47"/>
      <c r="C15" s="47"/>
      <c r="D15" s="47"/>
      <c r="E15" s="47"/>
      <c r="F15" s="47"/>
      <c r="G15" s="262">
        <v>30</v>
      </c>
      <c r="H15" s="262"/>
      <c r="I15" s="262"/>
      <c r="J15" s="262">
        <v>40</v>
      </c>
      <c r="K15" s="262"/>
      <c r="L15" s="262"/>
      <c r="M15" s="263" t="s">
        <v>410</v>
      </c>
      <c r="N15" s="263"/>
      <c r="O15" s="54">
        <f t="shared" si="0"/>
        <v>30</v>
      </c>
      <c r="P15" s="54">
        <f t="shared" si="1"/>
        <v>25</v>
      </c>
      <c r="Q15" s="55">
        <f t="shared" si="2"/>
        <v>52.500000000000007</v>
      </c>
      <c r="R15" s="50">
        <v>1</v>
      </c>
      <c r="S15" s="50">
        <v>0</v>
      </c>
      <c r="T15" s="50">
        <f t="shared" si="3"/>
        <v>0</v>
      </c>
      <c r="XFD15" s="50">
        <f t="shared" si="4"/>
        <v>0</v>
      </c>
    </row>
    <row r="16" spans="1:20 16384:16384" s="50" customFormat="1" ht="15" customHeight="1">
      <c r="A16" s="47"/>
      <c r="B16" s="47"/>
      <c r="C16" s="47"/>
      <c r="D16" s="47"/>
      <c r="E16" s="47"/>
      <c r="F16" s="47"/>
      <c r="G16" s="262">
        <v>40</v>
      </c>
      <c r="H16" s="262"/>
      <c r="I16" s="262"/>
      <c r="J16" s="262">
        <v>30</v>
      </c>
      <c r="K16" s="262"/>
      <c r="L16" s="262"/>
      <c r="M16" s="263" t="s">
        <v>414</v>
      </c>
      <c r="N16" s="263"/>
      <c r="O16" s="54">
        <f t="shared" si="0"/>
        <v>20</v>
      </c>
      <c r="P16" s="54">
        <f t="shared" si="1"/>
        <v>35</v>
      </c>
      <c r="Q16" s="55">
        <f t="shared" si="2"/>
        <v>49.000000000000007</v>
      </c>
      <c r="R16" s="50">
        <v>0</v>
      </c>
      <c r="S16" s="50">
        <v>0</v>
      </c>
      <c r="T16" s="50">
        <f t="shared" si="3"/>
        <v>0</v>
      </c>
      <c r="XFD16" s="50">
        <f t="shared" si="4"/>
        <v>0</v>
      </c>
    </row>
    <row r="17" spans="1:20 16384:16384" s="50" customFormat="1" ht="15" customHeight="1">
      <c r="A17" s="47"/>
      <c r="B17" s="47"/>
      <c r="C17" s="47"/>
      <c r="D17" s="47"/>
      <c r="E17" s="47"/>
      <c r="F17" s="47"/>
      <c r="G17" s="262">
        <v>40</v>
      </c>
      <c r="H17" s="262"/>
      <c r="I17" s="262"/>
      <c r="J17" s="262">
        <v>40</v>
      </c>
      <c r="K17" s="262"/>
      <c r="L17" s="262"/>
      <c r="M17" s="263" t="s">
        <v>416</v>
      </c>
      <c r="N17" s="263"/>
      <c r="O17" s="54">
        <f t="shared" si="0"/>
        <v>30</v>
      </c>
      <c r="P17" s="54">
        <f t="shared" si="1"/>
        <v>35</v>
      </c>
      <c r="Q17" s="55">
        <f t="shared" si="2"/>
        <v>73.5</v>
      </c>
      <c r="R17" s="50">
        <v>1</v>
      </c>
      <c r="S17" s="50">
        <v>0</v>
      </c>
      <c r="T17" s="50">
        <f t="shared" si="3"/>
        <v>0</v>
      </c>
      <c r="XFD17" s="50">
        <f t="shared" si="4"/>
        <v>0</v>
      </c>
    </row>
    <row r="18" spans="1:20 16384:16384" ht="15" customHeight="1"/>
    <row r="19" spans="1:20 16384:16384" ht="15" customHeight="1">
      <c r="B19" s="48" t="s">
        <v>379</v>
      </c>
    </row>
    <row r="20" spans="1:20 16384:16384" ht="15" customHeight="1">
      <c r="B20" s="49" t="s">
        <v>380</v>
      </c>
    </row>
    <row r="21" spans="1:20 16384:16384" ht="25.15" customHeight="1">
      <c r="B21" s="49"/>
    </row>
    <row r="22" spans="1:20 16384:16384" ht="15" hidden="1" customHeight="1">
      <c r="B22" s="49"/>
    </row>
    <row r="23" spans="1:20 16384:16384" ht="15" hidden="1" customHeight="1">
      <c r="B23" s="49"/>
    </row>
    <row r="47" ht="4.1500000000000004" hidden="1" customHeight="1"/>
  </sheetData>
  <sheetProtection algorithmName="SHA-512" hashValue="vw7uwm3vuT2t2mJJEZ7lmJJHa+sQE9QrKP1HV92BDyEt1tA0+yOrJEUGI+dtNeAiott3Jz9/kKENDw0RO6cHKw==" saltValue="jWz6DXZWorNyDKiBfdlh0w==" spinCount="100000" sheet="1" objects="1" scenarios="1" selectLockedCells="1"/>
  <mergeCells count="40">
    <mergeCell ref="G4:Q4"/>
    <mergeCell ref="G5:I5"/>
    <mergeCell ref="J5:L5"/>
    <mergeCell ref="M5:N5"/>
    <mergeCell ref="G6:I6"/>
    <mergeCell ref="J6:L6"/>
    <mergeCell ref="M6:N6"/>
    <mergeCell ref="G7:I7"/>
    <mergeCell ref="J7:L7"/>
    <mergeCell ref="M7:N7"/>
    <mergeCell ref="G8:I8"/>
    <mergeCell ref="J8:L8"/>
    <mergeCell ref="M8:N8"/>
    <mergeCell ref="G9:I9"/>
    <mergeCell ref="J9:L9"/>
    <mergeCell ref="M9:N9"/>
    <mergeCell ref="G10:I10"/>
    <mergeCell ref="J10:L10"/>
    <mergeCell ref="M10:N10"/>
    <mergeCell ref="G11:I11"/>
    <mergeCell ref="J11:L11"/>
    <mergeCell ref="M11:N11"/>
    <mergeCell ref="G12:I12"/>
    <mergeCell ref="J12:L12"/>
    <mergeCell ref="M12:N12"/>
    <mergeCell ref="G13:I13"/>
    <mergeCell ref="J13:L13"/>
    <mergeCell ref="M13:N13"/>
    <mergeCell ref="G14:I14"/>
    <mergeCell ref="J14:L14"/>
    <mergeCell ref="M14:N14"/>
    <mergeCell ref="G17:I17"/>
    <mergeCell ref="J17:L17"/>
    <mergeCell ref="M17:N17"/>
    <mergeCell ref="G15:I15"/>
    <mergeCell ref="J15:L15"/>
    <mergeCell ref="M15:N15"/>
    <mergeCell ref="G16:I16"/>
    <mergeCell ref="J16:L16"/>
    <mergeCell ref="M16:N16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9217" r:id="rId4" name="Image1">
          <controlPr defaultSize="0" autoLine="0" r:id="rId5">
            <anchor moveWithCells="1">
              <from>
                <xdr:col>1</xdr:col>
                <xdr:colOff>28575</xdr:colOff>
                <xdr:row>4</xdr:row>
                <xdr:rowOff>152400</xdr:rowOff>
              </from>
              <to>
                <xdr:col>5</xdr:col>
                <xdr:colOff>333375</xdr:colOff>
                <xdr:row>15</xdr:row>
                <xdr:rowOff>38100</xdr:rowOff>
              </to>
            </anchor>
          </controlPr>
        </control>
      </mc:Choice>
      <mc:Fallback>
        <control shapeId="9217" r:id="rId4" name="Image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2B89F-3A1D-4255-8568-FC60BEB69856}">
  <sheetPr codeName="Planilha4"/>
  <dimension ref="A1:C36"/>
  <sheetViews>
    <sheetView showGridLines="0" showRowColHeaders="0" workbookViewId="0">
      <selection activeCell="F9" sqref="F9"/>
    </sheetView>
  </sheetViews>
  <sheetFormatPr defaultRowHeight="15"/>
  <cols>
    <col min="1" max="1" width="25" bestFit="1" customWidth="1"/>
    <col min="2" max="2" width="52.140625" bestFit="1" customWidth="1"/>
    <col min="3" max="3" width="25" bestFit="1" customWidth="1"/>
  </cols>
  <sheetData>
    <row r="1" spans="1:3">
      <c r="A1" s="61" t="s">
        <v>493</v>
      </c>
    </row>
    <row r="2" spans="1:3">
      <c r="A2" t="s">
        <v>453</v>
      </c>
      <c r="B2" t="s">
        <v>500</v>
      </c>
      <c r="C2" t="s">
        <v>476</v>
      </c>
    </row>
    <row r="3" spans="1:3">
      <c r="A3" t="s">
        <v>453</v>
      </c>
      <c r="B3" t="s">
        <v>499</v>
      </c>
      <c r="C3" t="s">
        <v>476</v>
      </c>
    </row>
    <row r="4" spans="1:3">
      <c r="A4" t="s">
        <v>453</v>
      </c>
      <c r="B4" t="s">
        <v>497</v>
      </c>
      <c r="C4" t="s">
        <v>476</v>
      </c>
    </row>
    <row r="5" spans="1:3">
      <c r="A5" t="s">
        <v>453</v>
      </c>
      <c r="B5" t="s">
        <v>498</v>
      </c>
      <c r="C5" t="s">
        <v>476</v>
      </c>
    </row>
    <row r="6" spans="1:3">
      <c r="A6" t="s">
        <v>453</v>
      </c>
      <c r="B6" t="s">
        <v>477</v>
      </c>
      <c r="C6" t="s">
        <v>465</v>
      </c>
    </row>
    <row r="7" spans="1:3">
      <c r="A7" t="s">
        <v>453</v>
      </c>
      <c r="B7" t="s">
        <v>482</v>
      </c>
      <c r="C7" t="s">
        <v>465</v>
      </c>
    </row>
    <row r="8" spans="1:3">
      <c r="A8" t="s">
        <v>453</v>
      </c>
      <c r="B8" t="s">
        <v>483</v>
      </c>
      <c r="C8" t="s">
        <v>465</v>
      </c>
    </row>
    <row r="9" spans="1:3">
      <c r="A9" t="s">
        <v>453</v>
      </c>
      <c r="B9" t="s">
        <v>484</v>
      </c>
      <c r="C9" t="s">
        <v>465</v>
      </c>
    </row>
    <row r="10" spans="1:3">
      <c r="A10" t="s">
        <v>453</v>
      </c>
      <c r="B10" t="s">
        <v>478</v>
      </c>
      <c r="C10" t="s">
        <v>479</v>
      </c>
    </row>
    <row r="11" spans="1:3">
      <c r="A11" t="s">
        <v>453</v>
      </c>
      <c r="B11" t="s">
        <v>487</v>
      </c>
      <c r="C11" t="s">
        <v>479</v>
      </c>
    </row>
    <row r="12" spans="1:3">
      <c r="A12" t="s">
        <v>453</v>
      </c>
      <c r="B12" t="s">
        <v>485</v>
      </c>
      <c r="C12" t="s">
        <v>479</v>
      </c>
    </row>
    <row r="13" spans="1:3">
      <c r="A13" t="s">
        <v>453</v>
      </c>
      <c r="B13" t="s">
        <v>486</v>
      </c>
      <c r="C13" t="s">
        <v>479</v>
      </c>
    </row>
    <row r="14" spans="1:3">
      <c r="A14" t="s">
        <v>495</v>
      </c>
      <c r="B14" t="s">
        <v>480</v>
      </c>
      <c r="C14" t="s">
        <v>469</v>
      </c>
    </row>
    <row r="15" spans="1:3">
      <c r="A15" t="s">
        <v>495</v>
      </c>
      <c r="B15" t="s">
        <v>488</v>
      </c>
      <c r="C15" t="s">
        <v>469</v>
      </c>
    </row>
    <row r="16" spans="1:3">
      <c r="A16" t="s">
        <v>495</v>
      </c>
      <c r="B16" t="s">
        <v>489</v>
      </c>
      <c r="C16" t="s">
        <v>469</v>
      </c>
    </row>
    <row r="17" spans="1:3">
      <c r="A17" t="s">
        <v>495</v>
      </c>
      <c r="B17" t="s">
        <v>490</v>
      </c>
      <c r="C17" t="s">
        <v>469</v>
      </c>
    </row>
    <row r="18" spans="1:3">
      <c r="A18" t="s">
        <v>494</v>
      </c>
      <c r="B18" t="s">
        <v>481</v>
      </c>
      <c r="C18" t="s">
        <v>470</v>
      </c>
    </row>
    <row r="19" spans="1:3">
      <c r="A19" t="s">
        <v>494</v>
      </c>
      <c r="B19" t="s">
        <v>492</v>
      </c>
      <c r="C19" t="s">
        <v>470</v>
      </c>
    </row>
    <row r="20" spans="1:3">
      <c r="A20" t="s">
        <v>494</v>
      </c>
      <c r="B20" t="s">
        <v>485</v>
      </c>
      <c r="C20" t="s">
        <v>470</v>
      </c>
    </row>
    <row r="21" spans="1:3">
      <c r="A21" t="s">
        <v>494</v>
      </c>
      <c r="B21" t="s">
        <v>491</v>
      </c>
      <c r="C21" t="s">
        <v>470</v>
      </c>
    </row>
    <row r="23" spans="1:3">
      <c r="A23" s="61" t="s">
        <v>496</v>
      </c>
    </row>
    <row r="24" spans="1:3">
      <c r="A24" t="s">
        <v>454</v>
      </c>
      <c r="B24" t="s">
        <v>435</v>
      </c>
      <c r="C24" t="s">
        <v>476</v>
      </c>
    </row>
    <row r="25" spans="1:3">
      <c r="A25" t="s">
        <v>455</v>
      </c>
      <c r="B25" t="s">
        <v>436</v>
      </c>
      <c r="C25" t="s">
        <v>475</v>
      </c>
    </row>
    <row r="26" spans="1:3">
      <c r="A26" t="s">
        <v>456</v>
      </c>
      <c r="B26" t="s">
        <v>437</v>
      </c>
      <c r="C26" t="s">
        <v>448</v>
      </c>
    </row>
    <row r="27" spans="1:3">
      <c r="A27" t="s">
        <v>457</v>
      </c>
      <c r="B27" t="s">
        <v>445</v>
      </c>
      <c r="C27" t="s">
        <v>452</v>
      </c>
    </row>
    <row r="28" spans="1:3">
      <c r="A28" t="s">
        <v>458</v>
      </c>
      <c r="B28" t="s">
        <v>439</v>
      </c>
      <c r="C28" t="s">
        <v>470</v>
      </c>
    </row>
    <row r="29" spans="1:3">
      <c r="A29" t="s">
        <v>459</v>
      </c>
      <c r="B29" t="s">
        <v>440</v>
      </c>
      <c r="C29" t="s">
        <v>449</v>
      </c>
    </row>
    <row r="30" spans="1:3">
      <c r="A30" t="s">
        <v>460</v>
      </c>
      <c r="B30" t="s">
        <v>441</v>
      </c>
      <c r="C30" t="s">
        <v>450</v>
      </c>
    </row>
    <row r="31" spans="1:3">
      <c r="A31" t="s">
        <v>461</v>
      </c>
      <c r="B31" t="s">
        <v>442</v>
      </c>
      <c r="C31" t="s">
        <v>471</v>
      </c>
    </row>
    <row r="32" spans="1:3">
      <c r="A32" t="s">
        <v>462</v>
      </c>
      <c r="B32" t="s">
        <v>446</v>
      </c>
      <c r="C32" t="s">
        <v>447</v>
      </c>
    </row>
    <row r="33" spans="1:3">
      <c r="A33" t="s">
        <v>463</v>
      </c>
      <c r="B33" t="s">
        <v>443</v>
      </c>
      <c r="C33" t="s">
        <v>451</v>
      </c>
    </row>
    <row r="34" spans="1:3">
      <c r="A34" t="s">
        <v>464</v>
      </c>
      <c r="B34" t="s">
        <v>444</v>
      </c>
      <c r="C34" t="s">
        <v>472</v>
      </c>
    </row>
    <row r="35" spans="1:3">
      <c r="A35" t="s">
        <v>466</v>
      </c>
      <c r="B35" t="s">
        <v>438</v>
      </c>
      <c r="C35" t="s">
        <v>473</v>
      </c>
    </row>
    <row r="36" spans="1:3">
      <c r="A36" t="s">
        <v>467</v>
      </c>
      <c r="B36" t="s">
        <v>468</v>
      </c>
      <c r="C36" t="s">
        <v>474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L231"/>
  <sheetViews>
    <sheetView showGridLines="0" showRowColHeaders="0" zoomScale="115" zoomScaleNormal="115" workbookViewId="0">
      <selection activeCell="D9" sqref="D9"/>
    </sheetView>
  </sheetViews>
  <sheetFormatPr defaultColWidth="9.140625" defaultRowHeight="12.75"/>
  <cols>
    <col min="1" max="1" width="8.85546875" style="3" customWidth="1"/>
    <col min="2" max="2" width="19.42578125" style="3" bestFit="1" customWidth="1"/>
    <col min="3" max="3" width="25.7109375" style="3" bestFit="1" customWidth="1"/>
    <col min="4" max="4" width="59" style="3" bestFit="1" customWidth="1"/>
    <col min="5" max="9" width="8.85546875" style="3" customWidth="1"/>
    <col min="10" max="10" width="25" style="3" customWidth="1"/>
    <col min="11" max="11" width="12.85546875" style="3" customWidth="1"/>
    <col min="12" max="12" width="8.85546875" style="3" customWidth="1"/>
    <col min="13" max="16384" width="9.140625" style="3"/>
  </cols>
  <sheetData>
    <row r="1" spans="1:1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ht="15">
      <c r="A2" s="20" t="s">
        <v>2</v>
      </c>
      <c r="B2" s="39" t="s">
        <v>132</v>
      </c>
      <c r="C2" s="22"/>
      <c r="D2" s="22"/>
      <c r="E2" s="2"/>
      <c r="F2" s="2"/>
      <c r="G2" s="2"/>
      <c r="H2" s="2"/>
      <c r="I2" s="2"/>
      <c r="J2" s="21" t="s">
        <v>76</v>
      </c>
      <c r="K2" s="2"/>
      <c r="L2" s="2"/>
    </row>
    <row r="3" spans="1:12" ht="14.25">
      <c r="A3" s="20" t="s">
        <v>3</v>
      </c>
      <c r="B3" s="1" t="s">
        <v>307</v>
      </c>
      <c r="C3" s="4">
        <f>Nk*yk*yconc</f>
        <v>25.2</v>
      </c>
      <c r="D3" s="21" t="s">
        <v>64</v>
      </c>
      <c r="F3" s="2"/>
      <c r="G3" s="2"/>
      <c r="H3" s="2"/>
      <c r="I3" s="2"/>
      <c r="J3" s="21" t="s">
        <v>29</v>
      </c>
      <c r="K3" s="2" t="s">
        <v>35</v>
      </c>
      <c r="L3" s="2"/>
    </row>
    <row r="4" spans="1:12" ht="14.25">
      <c r="A4" s="20" t="s">
        <v>4</v>
      </c>
      <c r="B4" s="1" t="s">
        <v>308</v>
      </c>
      <c r="C4" s="4">
        <f>INDEX(tab.aparelhoapoio[],MATCH(aparelho,tab.aparelhoapoio[APARELHO DE APOIO],0),2)*Fsd</f>
        <v>4.032</v>
      </c>
      <c r="D4" s="21" t="s">
        <v>65</v>
      </c>
      <c r="F4" s="2"/>
      <c r="G4" s="2"/>
      <c r="H4" s="2"/>
      <c r="I4" s="2"/>
      <c r="J4" s="21" t="s">
        <v>30</v>
      </c>
      <c r="K4" s="2">
        <v>0.8</v>
      </c>
      <c r="L4" s="2"/>
    </row>
    <row r="5" spans="1:12">
      <c r="A5" s="20" t="s">
        <v>5</v>
      </c>
      <c r="B5" s="1" t="s">
        <v>37</v>
      </c>
      <c r="C5" s="5">
        <f>ATAN(Hsd/Fsd)*180/(PI())</f>
        <v>9.0902769208223226</v>
      </c>
      <c r="D5" s="21" t="s">
        <v>66</v>
      </c>
      <c r="F5" s="2"/>
      <c r="G5" s="2"/>
      <c r="H5" s="2"/>
      <c r="I5" s="2"/>
      <c r="J5" s="21" t="s">
        <v>31</v>
      </c>
      <c r="K5" s="2">
        <v>0.5</v>
      </c>
      <c r="L5" s="2"/>
    </row>
    <row r="6" spans="1:12">
      <c r="A6" s="20" t="s">
        <v>6</v>
      </c>
      <c r="B6" s="1" t="s">
        <v>38</v>
      </c>
      <c r="C6" s="6">
        <f>dlinha*TAN(alfa*PI()/180)</f>
        <v>0.5</v>
      </c>
      <c r="D6" s="21" t="s">
        <v>67</v>
      </c>
      <c r="F6" s="2"/>
      <c r="G6" s="2"/>
      <c r="H6" s="2"/>
      <c r="I6" s="2"/>
      <c r="J6" s="21" t="s">
        <v>32</v>
      </c>
      <c r="K6" s="2">
        <v>0.4</v>
      </c>
      <c r="L6" s="2"/>
    </row>
    <row r="7" spans="1:12">
      <c r="A7" s="20" t="s">
        <v>7</v>
      </c>
      <c r="B7" s="1" t="s">
        <v>39</v>
      </c>
      <c r="C7" s="6">
        <f>comprimento-(cobr+IF(Anc.tir="Barra Soldada", arm.tir/10+2,arm.tir/10))-cota.A-BD</f>
        <v>6.25</v>
      </c>
      <c r="D7" s="21" t="s">
        <v>68</v>
      </c>
      <c r="F7" s="2"/>
      <c r="G7" s="2"/>
      <c r="H7" s="2"/>
      <c r="I7" s="2"/>
      <c r="J7" s="21" t="s">
        <v>33</v>
      </c>
      <c r="K7" s="2">
        <v>0.25</v>
      </c>
      <c r="L7" s="2"/>
    </row>
    <row r="8" spans="1:12">
      <c r="A8" s="20" t="s">
        <v>8</v>
      </c>
      <c r="B8" s="1" t="s">
        <v>40</v>
      </c>
      <c r="C8" s="6">
        <f>AB+BD</f>
        <v>6.75</v>
      </c>
      <c r="D8" s="21" t="s">
        <v>69</v>
      </c>
      <c r="F8" s="2"/>
      <c r="G8" s="2"/>
      <c r="H8" s="2"/>
      <c r="I8" s="2"/>
      <c r="J8" s="21" t="s">
        <v>178</v>
      </c>
      <c r="K8" s="2">
        <v>0.16</v>
      </c>
      <c r="L8" s="2"/>
    </row>
    <row r="9" spans="1:12">
      <c r="A9" s="20" t="s">
        <v>9</v>
      </c>
      <c r="B9" s="1" t="s">
        <v>41</v>
      </c>
      <c r="C9" s="6">
        <f>2*AB</f>
        <v>12.5</v>
      </c>
      <c r="D9" s="21" t="s">
        <v>70</v>
      </c>
      <c r="F9" s="2"/>
      <c r="G9" s="2"/>
      <c r="H9" s="2"/>
      <c r="I9" s="2"/>
      <c r="J9" s="21" t="s">
        <v>34</v>
      </c>
      <c r="K9" s="2">
        <v>0.08</v>
      </c>
      <c r="L9" s="2"/>
    </row>
    <row r="10" spans="1:12">
      <c r="A10" s="20" t="s">
        <v>10</v>
      </c>
      <c r="B10" s="1" t="s">
        <v>42</v>
      </c>
      <c r="C10" s="5">
        <f>ATAN((h-dlinha)/(AD+cota.A))*180/PI()</f>
        <v>48.652222780306339</v>
      </c>
      <c r="D10" s="21" t="s">
        <v>71</v>
      </c>
      <c r="F10" s="2"/>
      <c r="G10" s="2"/>
      <c r="H10" s="2"/>
      <c r="I10" s="2"/>
      <c r="J10" s="2"/>
      <c r="K10" s="2">
        <f>INDEX(tab.aparelhoapoio[],MATCH(aparelho,tab.aparelhoapoio[APARELHO DE APOIO],0),2)</f>
        <v>0.16</v>
      </c>
      <c r="L10" s="2"/>
    </row>
    <row r="11" spans="1:12" ht="14.25">
      <c r="A11" s="20" t="s">
        <v>11</v>
      </c>
      <c r="B11" s="1" t="s">
        <v>309</v>
      </c>
      <c r="C11" s="6">
        <f>IF(Hsd=0,AD*2,AC)*SIN(teta*PI()/180)</f>
        <v>9.3839189615344409</v>
      </c>
      <c r="D11" s="21" t="s">
        <v>85</v>
      </c>
      <c r="F11" s="2"/>
      <c r="G11" s="2"/>
      <c r="H11" s="2"/>
      <c r="I11" s="2"/>
      <c r="J11" s="21" t="s">
        <v>113</v>
      </c>
      <c r="K11" s="2"/>
      <c r="L11" s="2"/>
    </row>
    <row r="12" spans="1:12" ht="14.25">
      <c r="A12" s="20" t="s">
        <v>12</v>
      </c>
      <c r="B12" s="1" t="s">
        <v>310</v>
      </c>
      <c r="C12" s="7">
        <f>hbie*aparelho.bn</f>
        <v>187.67837923068882</v>
      </c>
      <c r="D12" s="21" t="s">
        <v>86</v>
      </c>
      <c r="F12" s="2"/>
      <c r="G12" s="2"/>
      <c r="H12" s="2"/>
      <c r="I12" s="2"/>
      <c r="J12" s="2" t="s">
        <v>112</v>
      </c>
      <c r="K12" s="23" t="s">
        <v>114</v>
      </c>
      <c r="L12" s="2"/>
    </row>
    <row r="13" spans="1:12" ht="14.25">
      <c r="A13" s="20" t="s">
        <v>13</v>
      </c>
      <c r="B13" s="1" t="s">
        <v>311</v>
      </c>
      <c r="C13" s="4">
        <f>Fsd/(SIN(teta*PI()/180))</f>
        <v>33.568064823578972</v>
      </c>
      <c r="D13" s="21" t="s">
        <v>87</v>
      </c>
      <c r="F13" s="2"/>
      <c r="G13" s="2"/>
      <c r="H13" s="2"/>
      <c r="I13" s="2"/>
      <c r="J13" s="2" t="s">
        <v>108</v>
      </c>
      <c r="K13" s="24">
        <f>(1-(fck/250))*0.72*fcd.calc</f>
        <v>17.28</v>
      </c>
      <c r="L13" s="2"/>
    </row>
    <row r="14" spans="1:12" ht="14.25">
      <c r="A14" s="20" t="s">
        <v>14</v>
      </c>
      <c r="B14" s="1" t="s">
        <v>312</v>
      </c>
      <c r="C14" s="8">
        <f>IF(AB&lt;0,"Aumente L!",(Rcd/(abie/10000))/100)</f>
        <v>17.885952000000003</v>
      </c>
      <c r="D14" s="21" t="s">
        <v>106</v>
      </c>
      <c r="F14" s="2"/>
      <c r="G14" s="2"/>
      <c r="H14" s="2"/>
      <c r="I14" s="2"/>
      <c r="J14" s="2" t="s">
        <v>109</v>
      </c>
      <c r="K14" s="24">
        <f>0.85*fcd.calc</f>
        <v>24.285714285714285</v>
      </c>
      <c r="L14" s="2"/>
    </row>
    <row r="15" spans="1:12">
      <c r="A15" s="20" t="s">
        <v>15</v>
      </c>
      <c r="B15" s="1" t="s">
        <v>45</v>
      </c>
      <c r="C15" s="9">
        <f>fck</f>
        <v>40</v>
      </c>
      <c r="D15" s="21" t="s">
        <v>105</v>
      </c>
      <c r="F15" s="2"/>
      <c r="G15" s="2"/>
      <c r="H15" s="2"/>
      <c r="I15" s="2"/>
      <c r="J15" s="2" t="s">
        <v>46</v>
      </c>
      <c r="K15" s="24">
        <f>fck/yc</f>
        <v>28.571428571428573</v>
      </c>
      <c r="L15" s="2"/>
    </row>
    <row r="16" spans="1:12">
      <c r="A16" s="20" t="s">
        <v>16</v>
      </c>
      <c r="B16" s="1" t="s">
        <v>46</v>
      </c>
      <c r="C16" s="8">
        <f>INDEX(tab.limmbt[],MATCH(lim.mbt,tab.limmbt[CRITÉRIO],0),2)</f>
        <v>17.28</v>
      </c>
      <c r="D16" s="21" t="s">
        <v>123</v>
      </c>
      <c r="F16" s="2"/>
      <c r="G16" s="2"/>
      <c r="H16" s="2"/>
      <c r="I16" s="2"/>
      <c r="J16" s="2" t="s">
        <v>244</v>
      </c>
      <c r="K16" s="24"/>
      <c r="L16" s="2"/>
    </row>
    <row r="17" spans="1:12">
      <c r="A17" s="20" t="s">
        <v>17</v>
      </c>
      <c r="B17" s="1" t="s">
        <v>47</v>
      </c>
      <c r="C17" s="9">
        <f>INDEX(tab.aço[],MATCH(aço,tab.aço[TIPO DE AÇO],0),2)</f>
        <v>500</v>
      </c>
      <c r="D17" s="21" t="s">
        <v>124</v>
      </c>
      <c r="F17" s="2"/>
      <c r="G17" s="2"/>
      <c r="H17" s="2"/>
      <c r="I17" s="2"/>
      <c r="L17" s="2"/>
    </row>
    <row r="18" spans="1:12">
      <c r="A18" s="20" t="s">
        <v>18</v>
      </c>
      <c r="B18" s="1" t="s">
        <v>48</v>
      </c>
      <c r="C18" s="8">
        <f>fyk/ys</f>
        <v>434.78260869565219</v>
      </c>
      <c r="D18" s="21" t="s">
        <v>125</v>
      </c>
      <c r="F18" s="2"/>
      <c r="G18" s="2"/>
      <c r="H18" s="2"/>
      <c r="I18" s="2"/>
      <c r="J18" s="21" t="s">
        <v>119</v>
      </c>
      <c r="K18" s="2"/>
      <c r="L18" s="2"/>
    </row>
    <row r="19" spans="1:12">
      <c r="A19" s="20" t="s">
        <v>19</v>
      </c>
      <c r="B19" s="1" t="s">
        <v>49</v>
      </c>
      <c r="C19" s="7">
        <f>(0.1+cota.A/(h-dlinha))*Fsd/(fyd/100)</f>
        <v>3.8915999999999999</v>
      </c>
      <c r="D19" s="21" t="s">
        <v>126</v>
      </c>
      <c r="F19" s="2"/>
      <c r="G19" s="2"/>
      <c r="H19" s="2"/>
      <c r="I19" s="2"/>
      <c r="J19" s="2" t="s">
        <v>118</v>
      </c>
      <c r="K19" s="2" t="s">
        <v>114</v>
      </c>
      <c r="L19" s="2"/>
    </row>
    <row r="20" spans="1:12">
      <c r="A20" s="20" t="s">
        <v>20</v>
      </c>
      <c r="B20" s="1" t="s">
        <v>128</v>
      </c>
      <c r="C20" s="7">
        <f>Hsd/(fyd/100)</f>
        <v>0.92736000000000007</v>
      </c>
      <c r="D20" s="21" t="s">
        <v>127</v>
      </c>
      <c r="F20" s="2"/>
      <c r="G20" s="2"/>
      <c r="H20" s="2"/>
      <c r="I20" s="2"/>
      <c r="J20" s="2" t="s">
        <v>115</v>
      </c>
      <c r="K20" s="25">
        <v>250</v>
      </c>
      <c r="L20" s="2"/>
    </row>
    <row r="21" spans="1:12">
      <c r="A21" s="20" t="s">
        <v>21</v>
      </c>
      <c r="B21" s="1" t="s">
        <v>50</v>
      </c>
      <c r="C21" s="7">
        <f>Asv+Ash</f>
        <v>4.8189599999999997</v>
      </c>
      <c r="D21" s="21" t="s">
        <v>129</v>
      </c>
      <c r="F21" s="2"/>
      <c r="G21" s="2"/>
      <c r="H21" s="2"/>
      <c r="I21" s="2"/>
      <c r="J21" s="2" t="s">
        <v>116</v>
      </c>
      <c r="K21" s="25">
        <v>500</v>
      </c>
      <c r="L21" s="2"/>
    </row>
    <row r="22" spans="1:12">
      <c r="A22" s="20" t="s">
        <v>22</v>
      </c>
      <c r="B22" s="26" t="s">
        <v>43</v>
      </c>
      <c r="C22" s="10">
        <f>as.tir/(largura*(h-dlinha))</f>
        <v>8.8118125714285716E-3</v>
      </c>
      <c r="D22" s="21" t="s">
        <v>130</v>
      </c>
      <c r="F22" s="2"/>
      <c r="G22" s="2"/>
      <c r="H22" s="2"/>
      <c r="I22" s="2"/>
      <c r="J22" s="2" t="s">
        <v>117</v>
      </c>
      <c r="K22" s="25">
        <v>600</v>
      </c>
      <c r="L22" s="2"/>
    </row>
    <row r="23" spans="1:12">
      <c r="A23" s="20" t="s">
        <v>23</v>
      </c>
      <c r="B23" s="26" t="s">
        <v>44</v>
      </c>
      <c r="C23" s="10">
        <f>taxa.arm*fyk/fck</f>
        <v>0.11014765714285715</v>
      </c>
      <c r="D23" s="21" t="s">
        <v>131</v>
      </c>
      <c r="F23" s="2"/>
      <c r="G23" s="2"/>
      <c r="H23" s="2"/>
      <c r="I23" s="2"/>
      <c r="J23" s="2"/>
      <c r="K23" s="2"/>
      <c r="L23" s="2"/>
    </row>
    <row r="24" spans="1:12">
      <c r="A24" s="20" t="s">
        <v>24</v>
      </c>
      <c r="B24" s="1" t="s">
        <v>51</v>
      </c>
      <c r="C24" s="7">
        <f>C215</f>
        <v>1.75</v>
      </c>
      <c r="D24" s="21" t="s">
        <v>133</v>
      </c>
      <c r="F24" s="2"/>
      <c r="G24" s="2"/>
      <c r="H24" s="2"/>
      <c r="I24" s="2"/>
      <c r="J24" s="21" t="s">
        <v>138</v>
      </c>
      <c r="K24" s="2"/>
      <c r="L24" s="2"/>
    </row>
    <row r="25" spans="1:12">
      <c r="A25" s="20" t="s">
        <v>25</v>
      </c>
      <c r="B25" s="1" t="s">
        <v>52</v>
      </c>
      <c r="C25" s="7">
        <f>IF(Consoles!I34="distribuída",Cálculo!C224,Cálculo!C223)</f>
        <v>1.5566400000000002</v>
      </c>
      <c r="D25" s="21" t="s">
        <v>134</v>
      </c>
      <c r="F25" s="2"/>
      <c r="G25" s="2"/>
      <c r="H25" s="2"/>
      <c r="I25" s="2"/>
      <c r="J25" s="2" t="s">
        <v>137</v>
      </c>
      <c r="K25" s="2" t="s">
        <v>14</v>
      </c>
      <c r="L25" s="2"/>
    </row>
    <row r="26" spans="1:12">
      <c r="A26" s="20" t="s">
        <v>26</v>
      </c>
      <c r="B26" s="1" t="s">
        <v>53</v>
      </c>
      <c r="C26" s="7">
        <f>0.15/100*largura*h</f>
        <v>0.9375</v>
      </c>
      <c r="D26" s="21" t="s">
        <v>135</v>
      </c>
      <c r="F26" s="2"/>
      <c r="G26" s="2"/>
      <c r="H26" s="2"/>
      <c r="I26" s="2"/>
      <c r="J26" s="2" t="s">
        <v>1</v>
      </c>
      <c r="K26" s="23">
        <v>1.4</v>
      </c>
      <c r="L26" s="2"/>
    </row>
    <row r="27" spans="1:12">
      <c r="A27" s="20" t="s">
        <v>27</v>
      </c>
      <c r="B27" s="2"/>
      <c r="C27" s="2"/>
      <c r="D27" s="2"/>
      <c r="E27" s="2"/>
      <c r="F27" s="2"/>
      <c r="G27" s="2"/>
      <c r="H27" s="2"/>
      <c r="I27" s="2"/>
      <c r="J27" s="2" t="s">
        <v>139</v>
      </c>
      <c r="K27" s="23">
        <v>1</v>
      </c>
      <c r="L27" s="2"/>
    </row>
    <row r="28" spans="1:12">
      <c r="A28" s="2"/>
      <c r="B28" s="1" t="s">
        <v>162</v>
      </c>
      <c r="C28" s="22"/>
      <c r="D28" s="22"/>
      <c r="E28" s="2"/>
      <c r="F28" s="2"/>
      <c r="G28" s="2"/>
      <c r="H28" s="2"/>
      <c r="I28" s="2"/>
      <c r="J28" s="2"/>
      <c r="K28" s="2"/>
      <c r="L28" s="2"/>
    </row>
    <row r="29" spans="1:12">
      <c r="A29" s="2"/>
      <c r="B29" s="1" t="s">
        <v>163</v>
      </c>
      <c r="C29" s="7">
        <f>MAX(as.tir,astir.min)</f>
        <v>4.8189599999999997</v>
      </c>
      <c r="D29" s="21" t="s">
        <v>170</v>
      </c>
      <c r="E29" s="2"/>
      <c r="F29" s="2"/>
      <c r="G29" s="2"/>
      <c r="H29" s="2"/>
      <c r="I29" s="2"/>
      <c r="J29" s="2"/>
      <c r="K29" s="2"/>
      <c r="L29" s="2"/>
    </row>
    <row r="30" spans="1:12">
      <c r="A30" s="2"/>
      <c r="B30" s="1" t="s">
        <v>164</v>
      </c>
      <c r="C30" s="7">
        <f>as.cost</f>
        <v>1.5566400000000002</v>
      </c>
      <c r="D30" s="21" t="s">
        <v>171</v>
      </c>
      <c r="E30" s="2"/>
      <c r="F30" s="2"/>
      <c r="G30" s="2"/>
      <c r="H30" s="2"/>
      <c r="I30" s="2"/>
      <c r="J30" s="2"/>
      <c r="K30" s="2"/>
      <c r="L30" s="2"/>
    </row>
    <row r="31" spans="1:12">
      <c r="A31" s="2"/>
      <c r="B31" s="1" t="s">
        <v>165</v>
      </c>
      <c r="C31" s="7">
        <f>as.estr</f>
        <v>0.9375</v>
      </c>
      <c r="D31" s="21" t="s">
        <v>172</v>
      </c>
      <c r="E31" s="2"/>
      <c r="F31" s="2"/>
      <c r="G31" s="2"/>
      <c r="H31" s="2"/>
      <c r="I31" s="2"/>
      <c r="L31" s="2"/>
    </row>
    <row r="32" spans="1:12" ht="14.25">
      <c r="A32" s="2"/>
      <c r="B32" s="1" t="s">
        <v>312</v>
      </c>
      <c r="C32" s="8">
        <f>sigma.bie</f>
        <v>17.885952000000003</v>
      </c>
      <c r="D32" s="21" t="s">
        <v>173</v>
      </c>
      <c r="E32" s="2"/>
      <c r="F32" s="2"/>
      <c r="G32" s="2"/>
      <c r="H32" s="2"/>
      <c r="I32" s="2"/>
      <c r="L32" s="2"/>
    </row>
    <row r="33" spans="1:12" ht="14.25">
      <c r="A33" s="2"/>
      <c r="B33" s="1" t="s">
        <v>313</v>
      </c>
      <c r="C33" s="8">
        <f>fcd</f>
        <v>17.28</v>
      </c>
      <c r="D33" s="21" t="s">
        <v>174</v>
      </c>
      <c r="E33" s="2"/>
      <c r="F33" s="2"/>
      <c r="G33" s="2"/>
      <c r="H33" s="2"/>
      <c r="I33" s="2"/>
      <c r="L33" s="2"/>
    </row>
    <row r="34" spans="1:12">
      <c r="A34" s="2"/>
      <c r="B34" s="1" t="s">
        <v>166</v>
      </c>
      <c r="C34" s="11" t="str">
        <f>IF(AND(C32&gt;0.8*C33,C32&lt;C33),"Atenção para tensão na biela",IF(C32&lt;=0.8*C33,"Tensão na biela ok","Tensão na biela excessiva"))</f>
        <v>Tensão na biela excessiva</v>
      </c>
      <c r="D34" s="21" t="s">
        <v>175</v>
      </c>
      <c r="E34" s="2"/>
      <c r="F34" s="2"/>
      <c r="G34" s="2"/>
      <c r="H34" s="2"/>
      <c r="I34" s="2"/>
      <c r="L34" s="2"/>
    </row>
    <row r="35" spans="1:12">
      <c r="A35" s="2"/>
      <c r="D35" s="2"/>
      <c r="E35" s="2"/>
      <c r="F35" s="2"/>
      <c r="G35" s="2"/>
      <c r="H35" s="2"/>
      <c r="I35" s="2"/>
      <c r="L35" s="2"/>
    </row>
    <row r="36" spans="1:12">
      <c r="A36" s="2"/>
      <c r="D36" s="2"/>
      <c r="E36" s="2"/>
      <c r="F36" s="2"/>
      <c r="G36" s="2"/>
      <c r="H36" s="2"/>
      <c r="I36" s="2"/>
      <c r="L36" s="2"/>
    </row>
    <row r="37" spans="1:12" ht="15">
      <c r="A37" s="2"/>
      <c r="B37" s="39" t="s">
        <v>148</v>
      </c>
      <c r="D37" s="2"/>
      <c r="E37" s="2"/>
      <c r="F37" s="2"/>
      <c r="G37" s="2"/>
      <c r="H37" s="2"/>
      <c r="I37" s="2"/>
      <c r="L37" s="2"/>
    </row>
    <row r="38" spans="1:12" ht="14.25">
      <c r="A38" s="2"/>
      <c r="B38" s="1" t="s">
        <v>307</v>
      </c>
      <c r="C38" s="4">
        <f>Nk*yk*yconc</f>
        <v>25.2</v>
      </c>
      <c r="D38" s="21" t="s">
        <v>64</v>
      </c>
      <c r="E38" s="2"/>
      <c r="F38" s="2"/>
      <c r="G38" s="2"/>
      <c r="H38" s="2"/>
      <c r="I38" s="2"/>
      <c r="L38" s="2"/>
    </row>
    <row r="39" spans="1:12" ht="14.25">
      <c r="A39" s="2"/>
      <c r="B39" s="1" t="s">
        <v>308</v>
      </c>
      <c r="C39" s="4">
        <f>INDEX(tab.aparelhoapoio[],MATCH(aparelho,tab.aparelhoapoio[APARELHO DE APOIO],0),2)*Fsd</f>
        <v>4.032</v>
      </c>
      <c r="D39" s="21" t="s">
        <v>65</v>
      </c>
      <c r="E39" s="2"/>
      <c r="F39" s="2"/>
      <c r="G39" s="2"/>
      <c r="H39" s="2"/>
      <c r="I39" s="2"/>
      <c r="L39" s="2"/>
    </row>
    <row r="40" spans="1:12" ht="14.25">
      <c r="A40" s="2"/>
      <c r="B40" s="1" t="s">
        <v>314</v>
      </c>
      <c r="C40" s="8">
        <f>Fsd/(largura*h*1/10000)*1/100</f>
        <v>4.032</v>
      </c>
      <c r="D40" s="21" t="s">
        <v>264</v>
      </c>
      <c r="E40" s="2"/>
      <c r="F40" s="2"/>
      <c r="G40" s="2"/>
      <c r="H40" s="2"/>
      <c r="I40" s="2"/>
      <c r="L40" s="2"/>
    </row>
    <row r="41" spans="1:12" ht="14.25">
      <c r="A41" s="2"/>
      <c r="B41" s="1" t="s">
        <v>315</v>
      </c>
      <c r="C41" s="9">
        <f>fck</f>
        <v>40</v>
      </c>
      <c r="D41" s="21" t="s">
        <v>105</v>
      </c>
      <c r="E41" s="2"/>
      <c r="F41" s="2"/>
      <c r="G41" s="2"/>
      <c r="H41" s="2"/>
      <c r="I41" s="2"/>
      <c r="J41" s="2"/>
      <c r="K41" s="2"/>
      <c r="L41" s="2"/>
    </row>
    <row r="42" spans="1:12" ht="14.25">
      <c r="A42" s="2"/>
      <c r="B42" s="1" t="s">
        <v>316</v>
      </c>
      <c r="C42" s="8">
        <f>fck/yc</f>
        <v>28.571428571428573</v>
      </c>
      <c r="D42" s="21" t="s">
        <v>123</v>
      </c>
      <c r="E42" s="2"/>
      <c r="F42" s="2"/>
      <c r="G42" s="2"/>
      <c r="H42" s="2"/>
      <c r="I42" s="2"/>
      <c r="J42" s="2"/>
      <c r="K42" s="2"/>
      <c r="L42" s="2"/>
    </row>
    <row r="43" spans="1:12" ht="14.25">
      <c r="A43" s="2"/>
      <c r="B43" s="1" t="s">
        <v>317</v>
      </c>
      <c r="C43" s="8">
        <f>3+0.9*taxa.arm.muitocurto*fyd</f>
        <v>6.9813120000000009</v>
      </c>
      <c r="D43" s="21" t="s">
        <v>262</v>
      </c>
      <c r="E43" s="2"/>
      <c r="F43" s="2"/>
      <c r="G43" s="2"/>
      <c r="H43" s="2"/>
      <c r="I43" s="2"/>
      <c r="J43" s="2"/>
      <c r="K43" s="2"/>
      <c r="L43" s="2"/>
    </row>
    <row r="44" spans="1:12" ht="14.25">
      <c r="A44" s="2"/>
      <c r="B44" s="1" t="s">
        <v>318</v>
      </c>
      <c r="C44" s="8">
        <f>0.27*(1-fck/250)*fcd.muitocurto</f>
        <v>6.48</v>
      </c>
      <c r="D44" s="21" t="s">
        <v>262</v>
      </c>
      <c r="E44" s="2"/>
      <c r="F44" s="2"/>
      <c r="G44" s="2"/>
      <c r="H44" s="2"/>
      <c r="I44" s="2"/>
      <c r="J44" s="2"/>
      <c r="K44" s="2"/>
      <c r="L44" s="2"/>
    </row>
    <row r="45" spans="1:12" ht="14.25">
      <c r="A45" s="2"/>
      <c r="B45" s="1" t="s">
        <v>319</v>
      </c>
      <c r="C45" s="8">
        <v>8</v>
      </c>
      <c r="D45" s="21" t="s">
        <v>263</v>
      </c>
      <c r="E45" s="2"/>
      <c r="F45" s="2"/>
      <c r="G45" s="2"/>
      <c r="H45" s="2"/>
      <c r="I45" s="2"/>
      <c r="J45" s="2"/>
      <c r="K45" s="2"/>
      <c r="L45" s="2"/>
    </row>
    <row r="46" spans="1:12" ht="14.25">
      <c r="A46" s="2"/>
      <c r="B46" s="1" t="s">
        <v>320</v>
      </c>
      <c r="C46" s="8">
        <f>MIN(twu.1,twu.2,twu.3)</f>
        <v>6.48</v>
      </c>
      <c r="E46" s="2"/>
      <c r="F46" s="2"/>
      <c r="G46" s="2"/>
      <c r="H46" s="2"/>
      <c r="I46" s="2"/>
      <c r="J46" s="2"/>
      <c r="K46" s="2"/>
      <c r="L46" s="2"/>
    </row>
    <row r="47" spans="1:12" ht="14.25">
      <c r="A47" s="2"/>
      <c r="B47" s="1" t="s">
        <v>321</v>
      </c>
      <c r="C47" s="9">
        <f>fyk</f>
        <v>500</v>
      </c>
      <c r="D47" s="21" t="s">
        <v>124</v>
      </c>
      <c r="E47" s="2"/>
      <c r="F47" s="2"/>
      <c r="G47" s="2"/>
      <c r="H47" s="2"/>
      <c r="I47" s="2"/>
      <c r="J47" s="2"/>
      <c r="K47" s="2"/>
      <c r="L47" s="2"/>
    </row>
    <row r="48" spans="1:12" ht="14.25">
      <c r="A48" s="2"/>
      <c r="B48" s="1" t="s">
        <v>322</v>
      </c>
      <c r="C48" s="8">
        <f>fyd</f>
        <v>434.78260869565219</v>
      </c>
      <c r="D48" s="21" t="s">
        <v>125</v>
      </c>
      <c r="E48" s="2"/>
      <c r="F48" s="2"/>
      <c r="G48" s="2"/>
      <c r="H48" s="2"/>
      <c r="I48" s="2"/>
      <c r="J48" s="2"/>
      <c r="K48" s="2"/>
      <c r="L48" s="2"/>
    </row>
    <row r="49" spans="1:12">
      <c r="A49" s="2"/>
      <c r="B49" s="1" t="s">
        <v>136</v>
      </c>
      <c r="C49" s="12">
        <f>INDEX(tab.atrito[],MATCH(fase,tab.atrito[Coeficiente atrito],0),2)</f>
        <v>1</v>
      </c>
      <c r="D49" s="21" t="s">
        <v>140</v>
      </c>
      <c r="E49" s="2"/>
      <c r="F49" s="2"/>
      <c r="G49" s="2"/>
      <c r="H49" s="2"/>
      <c r="I49" s="2"/>
      <c r="J49" s="2"/>
      <c r="K49" s="2"/>
      <c r="L49" s="2"/>
    </row>
    <row r="50" spans="1:12" ht="14.25">
      <c r="A50" s="2"/>
      <c r="B50" s="1" t="s">
        <v>323</v>
      </c>
      <c r="C50" s="7">
        <f>0.8*Fsd/(fyd/100*mi)</f>
        <v>4.6368</v>
      </c>
      <c r="D50" s="21" t="s">
        <v>141</v>
      </c>
      <c r="E50" s="2"/>
      <c r="F50" s="2"/>
      <c r="G50" s="2"/>
      <c r="H50" s="2"/>
      <c r="I50" s="2"/>
      <c r="J50" s="2"/>
      <c r="K50" s="2"/>
      <c r="L50" s="2"/>
    </row>
    <row r="51" spans="1:12" ht="14.25">
      <c r="A51" s="2"/>
      <c r="B51" s="1" t="s">
        <v>324</v>
      </c>
      <c r="C51" s="7">
        <f>asv.muitocurto+Hsd/(fyd/100)</f>
        <v>5.5641600000000002</v>
      </c>
      <c r="D51" s="21" t="s">
        <v>142</v>
      </c>
      <c r="E51" s="2"/>
      <c r="F51" s="2"/>
      <c r="K51" s="2"/>
      <c r="L51" s="2"/>
    </row>
    <row r="52" spans="1:12">
      <c r="A52" s="2"/>
      <c r="B52" s="1" t="s">
        <v>43</v>
      </c>
      <c r="C52" s="10">
        <f>as.tirmuitocurto/(largura*(h-dlinha))</f>
        <v>1.0174464000000001E-2</v>
      </c>
      <c r="D52" s="21" t="s">
        <v>143</v>
      </c>
      <c r="E52" s="2"/>
      <c r="F52" s="2"/>
      <c r="K52" s="2"/>
      <c r="L52" s="2"/>
    </row>
    <row r="53" spans="1:12">
      <c r="A53" s="2"/>
      <c r="B53" s="1" t="s">
        <v>44</v>
      </c>
      <c r="C53" s="10">
        <f>taxa.arm.muitocurto*fyk/fck</f>
        <v>0.12718080000000001</v>
      </c>
      <c r="D53" s="21" t="s">
        <v>144</v>
      </c>
      <c r="E53" s="2"/>
      <c r="F53" s="2"/>
      <c r="K53" s="2"/>
      <c r="L53" s="2"/>
    </row>
    <row r="54" spans="1:12" ht="14.25">
      <c r="A54" s="2"/>
      <c r="B54" s="1" t="s">
        <v>325</v>
      </c>
      <c r="C54" s="7">
        <f>C215</f>
        <v>1.75</v>
      </c>
      <c r="D54" s="21" t="s">
        <v>145</v>
      </c>
      <c r="E54" s="2"/>
      <c r="F54" s="2"/>
      <c r="K54" s="2"/>
      <c r="L54" s="2"/>
    </row>
    <row r="55" spans="1:12" ht="14.25">
      <c r="A55" s="2"/>
      <c r="B55" s="1" t="s">
        <v>326</v>
      </c>
      <c r="C55" s="7">
        <f>IF(Consoles!I34="distribuída",Cálculo!C226,Cálculo!C225)</f>
        <v>2.3184</v>
      </c>
      <c r="D55" s="21" t="s">
        <v>146</v>
      </c>
      <c r="E55" s="2"/>
      <c r="F55" s="2"/>
      <c r="K55" s="2"/>
      <c r="L55" s="2"/>
    </row>
    <row r="56" spans="1:12" ht="14.25">
      <c r="A56" s="2"/>
      <c r="B56" s="1" t="s">
        <v>327</v>
      </c>
      <c r="C56" s="7">
        <f>0.15/100*largura*h</f>
        <v>0.9375</v>
      </c>
      <c r="D56" s="21" t="s">
        <v>147</v>
      </c>
      <c r="E56" s="2"/>
      <c r="F56" s="2"/>
      <c r="K56" s="2"/>
      <c r="L56" s="2"/>
    </row>
    <row r="57" spans="1:12">
      <c r="A57" s="2"/>
      <c r="B57" s="1"/>
      <c r="D57" s="21"/>
      <c r="E57" s="2"/>
      <c r="F57" s="2"/>
      <c r="K57" s="2"/>
      <c r="L57" s="2"/>
    </row>
    <row r="58" spans="1:12">
      <c r="A58" s="2"/>
      <c r="B58" s="1" t="s">
        <v>162</v>
      </c>
      <c r="C58" s="22"/>
      <c r="D58" s="21"/>
      <c r="E58" s="2"/>
      <c r="F58" s="2"/>
      <c r="K58" s="2"/>
      <c r="L58" s="2"/>
    </row>
    <row r="59" spans="1:12">
      <c r="A59" s="2"/>
      <c r="B59" s="1" t="s">
        <v>163</v>
      </c>
      <c r="C59" s="7">
        <f>MAX(astir.min.muitocurto,as.tirmuitocurto)</f>
        <v>5.5641600000000002</v>
      </c>
      <c r="D59" s="21" t="s">
        <v>170</v>
      </c>
      <c r="K59" s="2"/>
      <c r="L59" s="2"/>
    </row>
    <row r="60" spans="1:12">
      <c r="A60" s="2"/>
      <c r="B60" s="1" t="s">
        <v>164</v>
      </c>
      <c r="C60" s="7">
        <f>as.cost.muitocurto</f>
        <v>2.3184</v>
      </c>
      <c r="D60" s="21" t="s">
        <v>171</v>
      </c>
      <c r="K60" s="2"/>
      <c r="L60" s="2"/>
    </row>
    <row r="61" spans="1:12">
      <c r="A61" s="2"/>
      <c r="B61" s="1" t="s">
        <v>165</v>
      </c>
      <c r="C61" s="7">
        <f>as.est.muitocurtor</f>
        <v>0.9375</v>
      </c>
      <c r="D61" s="21" t="s">
        <v>172</v>
      </c>
      <c r="K61" s="2"/>
      <c r="L61" s="2"/>
    </row>
    <row r="62" spans="1:12" ht="14.25">
      <c r="A62" s="2"/>
      <c r="B62" s="1" t="s">
        <v>314</v>
      </c>
      <c r="C62" s="8">
        <f>twd</f>
        <v>4.032</v>
      </c>
      <c r="D62" s="21" t="s">
        <v>176</v>
      </c>
      <c r="K62" s="2"/>
      <c r="L62" s="2"/>
    </row>
    <row r="63" spans="1:12">
      <c r="A63" s="2"/>
      <c r="B63" s="1" t="s">
        <v>169</v>
      </c>
      <c r="C63" s="8">
        <f>C46</f>
        <v>6.48</v>
      </c>
      <c r="D63" s="21" t="s">
        <v>177</v>
      </c>
      <c r="K63" s="2"/>
      <c r="L63" s="2"/>
    </row>
    <row r="64" spans="1:12">
      <c r="A64" s="2"/>
      <c r="B64" s="1" t="s">
        <v>166</v>
      </c>
      <c r="C64" s="11" t="str">
        <f>IF(AND(C62&gt;0.8*C63,C62&lt;C63),"Atenção para tensão cisalhante",IF(C62&lt;=0.8*C63,"Tensão cisalhante ok","Tensão cisalhante excessiva"))</f>
        <v>Tensão cisalhante ok</v>
      </c>
      <c r="D64" s="21" t="s">
        <v>175</v>
      </c>
      <c r="K64" s="2"/>
      <c r="L64" s="2"/>
    </row>
    <row r="65" spans="1:12">
      <c r="A65" s="2"/>
      <c r="B65" s="1"/>
      <c r="D65" s="21"/>
      <c r="K65" s="2"/>
      <c r="L65" s="2"/>
    </row>
    <row r="66" spans="1:12">
      <c r="A66" s="2"/>
      <c r="B66" s="1"/>
      <c r="D66" s="21"/>
      <c r="K66" s="2"/>
      <c r="L66" s="2"/>
    </row>
    <row r="67" spans="1:12">
      <c r="A67" s="2"/>
      <c r="B67" s="1"/>
      <c r="D67" s="21"/>
      <c r="K67" s="2"/>
      <c r="L67" s="2"/>
    </row>
    <row r="68" spans="1:12">
      <c r="A68" s="2"/>
      <c r="B68" s="2"/>
      <c r="C68" s="2"/>
      <c r="D68" s="2"/>
      <c r="K68" s="2"/>
      <c r="L68" s="2"/>
    </row>
    <row r="69" spans="1:12" ht="15">
      <c r="A69" s="2"/>
      <c r="B69" s="39" t="s">
        <v>54</v>
      </c>
      <c r="C69" s="2"/>
      <c r="D69" s="2"/>
      <c r="K69" s="2"/>
      <c r="L69" s="2"/>
    </row>
    <row r="70" spans="1:12">
      <c r="A70" s="2"/>
      <c r="B70" s="1" t="s">
        <v>55</v>
      </c>
      <c r="C70" s="27">
        <f>Consoles!C9</f>
        <v>25</v>
      </c>
      <c r="D70" s="21" t="s">
        <v>77</v>
      </c>
      <c r="E70" s="2"/>
      <c r="F70" s="2"/>
      <c r="K70" s="2"/>
      <c r="L70" s="2"/>
    </row>
    <row r="71" spans="1:12">
      <c r="A71" s="2"/>
      <c r="B71" s="1" t="s">
        <v>56</v>
      </c>
      <c r="C71" s="27">
        <f>Consoles!C10</f>
        <v>25</v>
      </c>
      <c r="D71" s="21" t="s">
        <v>78</v>
      </c>
      <c r="E71" s="2"/>
      <c r="F71" s="2"/>
      <c r="K71" s="2"/>
      <c r="L71" s="2"/>
    </row>
    <row r="72" spans="1:12">
      <c r="A72" s="2"/>
      <c r="B72" s="1" t="s">
        <v>57</v>
      </c>
      <c r="C72" s="27">
        <f>Consoles!C11</f>
        <v>25</v>
      </c>
      <c r="D72" s="21" t="s">
        <v>79</v>
      </c>
      <c r="E72" s="2"/>
      <c r="F72" s="2"/>
      <c r="K72" s="2"/>
      <c r="L72" s="2"/>
    </row>
    <row r="73" spans="1:12">
      <c r="A73" s="2"/>
      <c r="B73" s="1" t="s">
        <v>58</v>
      </c>
      <c r="C73" s="27">
        <f>Consoles!I9</f>
        <v>2.5</v>
      </c>
      <c r="D73" s="21" t="s">
        <v>80</v>
      </c>
      <c r="E73" s="2"/>
      <c r="F73" s="2"/>
      <c r="G73" s="2"/>
      <c r="H73" s="2"/>
      <c r="I73" s="2"/>
      <c r="J73" s="2"/>
      <c r="K73" s="2"/>
      <c r="L73" s="2"/>
    </row>
    <row r="74" spans="1:12">
      <c r="A74" s="2"/>
      <c r="B74" s="1" t="s">
        <v>59</v>
      </c>
      <c r="C74" s="28">
        <f>IF(Consoles!I33="2ª Camadas",cobr+(arm.tir/20)+(arm.tir/10),cobr+(arm.tir/20))</f>
        <v>3.125</v>
      </c>
      <c r="D74" s="21" t="s">
        <v>81</v>
      </c>
      <c r="E74" s="2"/>
      <c r="F74" s="2"/>
      <c r="G74" s="2"/>
      <c r="H74" s="2"/>
      <c r="I74" s="2"/>
      <c r="J74" s="2"/>
      <c r="K74" s="2"/>
      <c r="L74" s="2"/>
    </row>
    <row r="75" spans="1:12">
      <c r="A75" s="2"/>
      <c r="B75" s="1" t="s">
        <v>357</v>
      </c>
      <c r="C75" s="28">
        <f>d.util</f>
        <v>21.875</v>
      </c>
      <c r="D75" s="21" t="s">
        <v>257</v>
      </c>
      <c r="E75" s="2"/>
      <c r="F75" s="2"/>
      <c r="G75" s="2"/>
      <c r="H75" s="2"/>
      <c r="I75" s="2"/>
      <c r="J75" s="2"/>
      <c r="K75" s="2"/>
      <c r="L75" s="2"/>
    </row>
    <row r="76" spans="1:12">
      <c r="A76" s="2"/>
      <c r="B76" s="1" t="s">
        <v>63</v>
      </c>
      <c r="C76" s="27">
        <f>Consoles!C19</f>
        <v>12.5</v>
      </c>
      <c r="D76" s="21" t="s">
        <v>82</v>
      </c>
      <c r="E76" s="2"/>
      <c r="F76" s="2"/>
      <c r="G76" s="2"/>
      <c r="H76" s="2"/>
      <c r="I76" s="2"/>
      <c r="J76" s="2"/>
      <c r="K76" s="2"/>
      <c r="L76" s="2"/>
    </row>
    <row r="77" spans="1:12">
      <c r="A77" s="2"/>
      <c r="B77" s="1"/>
      <c r="C77" s="1"/>
      <c r="D77" s="21"/>
      <c r="E77" s="2"/>
      <c r="F77" s="2"/>
      <c r="G77" s="2"/>
      <c r="H77" s="2"/>
      <c r="I77" s="2"/>
      <c r="J77" s="2"/>
      <c r="K77" s="2"/>
      <c r="L77" s="2"/>
    </row>
    <row r="78" spans="1:12">
      <c r="A78" s="2"/>
      <c r="B78" s="1" t="s">
        <v>258</v>
      </c>
      <c r="C78" s="29">
        <f>h*largura</f>
        <v>625</v>
      </c>
      <c r="D78" s="21" t="s">
        <v>259</v>
      </c>
      <c r="E78" s="2"/>
      <c r="F78" s="2"/>
      <c r="G78" s="2"/>
      <c r="H78" s="2"/>
      <c r="I78" s="2"/>
      <c r="J78" s="2"/>
      <c r="K78" s="2"/>
      <c r="L78" s="2"/>
    </row>
    <row r="79" spans="1:12" ht="14.25">
      <c r="A79" s="2"/>
      <c r="B79" s="26" t="s">
        <v>328</v>
      </c>
      <c r="C79" s="28">
        <f>h/2</f>
        <v>12.5</v>
      </c>
      <c r="D79" s="21"/>
      <c r="E79" s="2"/>
      <c r="F79" s="2"/>
      <c r="G79" s="2"/>
      <c r="H79" s="2"/>
      <c r="I79" s="2"/>
      <c r="J79" s="2"/>
      <c r="K79" s="2"/>
      <c r="L79" s="2"/>
    </row>
    <row r="80" spans="1:12" ht="15">
      <c r="A80" s="2"/>
      <c r="B80" s="26" t="s">
        <v>329</v>
      </c>
      <c r="C80" s="30">
        <f>largura*h^3/12</f>
        <v>32552.083333333332</v>
      </c>
      <c r="D80" s="21"/>
      <c r="E80" s="2"/>
      <c r="F80" s="2"/>
      <c r="G80" s="2"/>
      <c r="H80" s="2"/>
      <c r="I80" s="2"/>
      <c r="J80" s="2"/>
      <c r="K80" s="2"/>
      <c r="L80" s="2"/>
    </row>
    <row r="81" spans="1:12" ht="15">
      <c r="A81" s="2"/>
      <c r="B81" s="26" t="s">
        <v>330</v>
      </c>
      <c r="C81" s="31">
        <f>C80/C79</f>
        <v>2604.1666666666665</v>
      </c>
      <c r="D81" s="2"/>
      <c r="E81" s="2"/>
      <c r="F81" s="2"/>
      <c r="G81" s="2"/>
      <c r="H81" s="2"/>
      <c r="I81" s="2"/>
      <c r="J81" s="2"/>
      <c r="K81" s="2"/>
      <c r="L81" s="2"/>
    </row>
    <row r="82" spans="1:12">
      <c r="A82" s="2"/>
      <c r="B82" s="26" t="s">
        <v>260</v>
      </c>
      <c r="C82" s="19">
        <f>d.util/h</f>
        <v>0.875</v>
      </c>
      <c r="E82" s="2"/>
      <c r="F82" s="2"/>
      <c r="G82" s="2"/>
      <c r="H82" s="2"/>
      <c r="I82" s="2"/>
      <c r="J82" s="2"/>
      <c r="K82" s="2"/>
      <c r="L82" s="2"/>
    </row>
    <row r="83" spans="1:1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</row>
    <row r="84" spans="1:12">
      <c r="A84" s="2"/>
      <c r="B84" s="1" t="s">
        <v>160</v>
      </c>
      <c r="C84" s="27">
        <f>Consoles!C15</f>
        <v>60</v>
      </c>
      <c r="D84" s="21" t="s">
        <v>161</v>
      </c>
      <c r="E84" s="2"/>
      <c r="F84" s="2"/>
      <c r="G84" s="2"/>
      <c r="H84" s="2"/>
      <c r="I84" s="2"/>
      <c r="J84" s="2"/>
      <c r="K84" s="2"/>
      <c r="L84" s="2"/>
    </row>
    <row r="85" spans="1:1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</row>
    <row r="86" spans="1:1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</row>
    <row r="87" spans="1:1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</row>
    <row r="88" spans="1:12" ht="15">
      <c r="A88" s="2"/>
      <c r="B88" s="39" t="s">
        <v>253</v>
      </c>
      <c r="C88" s="2"/>
      <c r="D88" s="21"/>
      <c r="E88" s="2"/>
      <c r="F88" s="2"/>
      <c r="G88" s="2"/>
      <c r="H88" s="2"/>
      <c r="I88" s="2"/>
      <c r="J88" s="2"/>
      <c r="K88" s="2"/>
      <c r="L88" s="2"/>
    </row>
    <row r="89" spans="1:12">
      <c r="A89" s="2"/>
      <c r="B89" s="1" t="s">
        <v>60</v>
      </c>
      <c r="C89" s="32">
        <f>Consoles!F33</f>
        <v>12.5</v>
      </c>
      <c r="D89" s="21" t="s">
        <v>83</v>
      </c>
      <c r="E89" s="2"/>
      <c r="F89" s="2"/>
      <c r="G89" s="2"/>
      <c r="H89" s="2"/>
      <c r="I89" s="2"/>
      <c r="J89" s="2"/>
      <c r="K89" s="2"/>
      <c r="L89" s="2"/>
    </row>
    <row r="90" spans="1:12">
      <c r="A90" s="2"/>
      <c r="B90" s="1" t="s">
        <v>61</v>
      </c>
      <c r="C90" s="27" t="str">
        <f>Consoles!G33</f>
        <v>Barra Soldada</v>
      </c>
      <c r="D90" s="21" t="s">
        <v>84</v>
      </c>
      <c r="E90" s="2"/>
      <c r="F90" s="2"/>
      <c r="G90" s="2"/>
      <c r="H90" s="2"/>
      <c r="I90" s="2"/>
      <c r="J90" s="2"/>
      <c r="K90" s="2"/>
      <c r="L90" s="2"/>
    </row>
    <row r="91" spans="1:1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</row>
    <row r="93" spans="1:1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</row>
    <row r="94" spans="1:1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</row>
    <row r="95" spans="1:12" ht="15">
      <c r="A95" s="2"/>
      <c r="B95" s="39" t="s">
        <v>29</v>
      </c>
      <c r="C95" s="2"/>
      <c r="D95" s="2"/>
      <c r="E95" s="2"/>
      <c r="F95" s="2"/>
      <c r="G95" s="2"/>
      <c r="H95" s="2"/>
      <c r="I95" s="2"/>
      <c r="J95" s="2"/>
      <c r="K95" s="2"/>
      <c r="L95" s="2"/>
    </row>
    <row r="96" spans="1:12">
      <c r="A96" s="2"/>
      <c r="B96" s="1" t="s">
        <v>91</v>
      </c>
      <c r="C96" s="27">
        <f>Consoles!I15</f>
        <v>1</v>
      </c>
      <c r="D96" s="21" t="s">
        <v>95</v>
      </c>
      <c r="E96" s="2"/>
      <c r="F96" s="2"/>
      <c r="G96" s="2"/>
      <c r="H96" s="2"/>
      <c r="I96" s="2"/>
      <c r="J96" s="2"/>
      <c r="K96" s="2"/>
      <c r="L96" s="2"/>
    </row>
    <row r="97" spans="1:12">
      <c r="A97" s="2"/>
      <c r="B97" s="1" t="s">
        <v>92</v>
      </c>
      <c r="C97" s="27">
        <f>Consoles!I16</f>
        <v>2.5</v>
      </c>
      <c r="D97" s="21" t="s">
        <v>96</v>
      </c>
      <c r="E97" s="2"/>
      <c r="F97" s="2"/>
      <c r="G97" s="2"/>
      <c r="H97" s="2"/>
      <c r="I97" s="2"/>
      <c r="J97" s="2"/>
      <c r="K97" s="2"/>
      <c r="L97" s="2"/>
    </row>
    <row r="98" spans="1:12">
      <c r="A98" s="2"/>
      <c r="B98" s="1" t="s">
        <v>93</v>
      </c>
      <c r="C98" s="27">
        <f>Consoles!I17</f>
        <v>2.5</v>
      </c>
      <c r="D98" s="21" t="s">
        <v>97</v>
      </c>
      <c r="E98" s="2"/>
      <c r="F98" s="2"/>
      <c r="G98" s="2"/>
      <c r="H98" s="2"/>
      <c r="I98" s="2"/>
      <c r="J98" s="2"/>
      <c r="K98" s="2"/>
      <c r="L98" s="2"/>
    </row>
    <row r="99" spans="1:12">
      <c r="A99" s="2"/>
      <c r="B99" s="1" t="s">
        <v>94</v>
      </c>
      <c r="C99" s="27">
        <f>Consoles!I18</f>
        <v>2.5</v>
      </c>
      <c r="D99" s="21" t="s">
        <v>98</v>
      </c>
      <c r="E99" s="2"/>
      <c r="F99" s="2"/>
      <c r="G99" s="2"/>
      <c r="H99" s="2"/>
      <c r="I99" s="2"/>
      <c r="J99" s="2"/>
      <c r="K99" s="2"/>
      <c r="L99" s="2"/>
    </row>
    <row r="100" spans="1:12">
      <c r="A100" s="2"/>
      <c r="B100" s="1" t="s">
        <v>302</v>
      </c>
      <c r="C100" s="33">
        <f>Consoles!I19</f>
        <v>7</v>
      </c>
      <c r="D100" s="21" t="s">
        <v>101</v>
      </c>
      <c r="E100" s="2"/>
      <c r="F100" s="2"/>
      <c r="G100" s="2"/>
      <c r="H100" s="2"/>
      <c r="I100" s="2"/>
      <c r="J100" s="2"/>
      <c r="K100" s="2"/>
      <c r="L100" s="2"/>
    </row>
    <row r="101" spans="1:12">
      <c r="A101" s="2"/>
      <c r="B101" s="1" t="s">
        <v>89</v>
      </c>
      <c r="C101" s="28">
        <f>comprimento-(aparelho.e1+aparelho.e2)</f>
        <v>20</v>
      </c>
      <c r="D101" s="21" t="s">
        <v>99</v>
      </c>
      <c r="E101" s="2"/>
      <c r="F101" s="2"/>
      <c r="G101" s="2"/>
      <c r="H101" s="2"/>
      <c r="I101" s="2"/>
      <c r="J101" s="2"/>
      <c r="K101" s="2"/>
      <c r="L101" s="2"/>
    </row>
    <row r="102" spans="1:12">
      <c r="A102" s="2"/>
      <c r="B102" s="1" t="s">
        <v>90</v>
      </c>
      <c r="C102" s="28">
        <f>largura-(2*aparelho.e3)</f>
        <v>20</v>
      </c>
      <c r="D102" s="21" t="s">
        <v>100</v>
      </c>
      <c r="E102" s="2"/>
      <c r="F102" s="2"/>
      <c r="G102" s="2"/>
      <c r="H102" s="2"/>
      <c r="I102" s="2"/>
      <c r="J102" s="2"/>
      <c r="K102" s="2"/>
      <c r="L102" s="2"/>
    </row>
    <row r="103" spans="1:12">
      <c r="A103" s="2"/>
      <c r="B103" s="1" t="s">
        <v>102</v>
      </c>
      <c r="C103" s="4">
        <f>(aparelho.an*aparelho.bn)*aparelho.tmax*0.01</f>
        <v>28</v>
      </c>
      <c r="D103" s="21" t="s">
        <v>103</v>
      </c>
      <c r="E103" s="2"/>
      <c r="F103" s="2"/>
      <c r="G103" s="2"/>
      <c r="H103" s="2"/>
      <c r="I103" s="2"/>
      <c r="J103" s="2"/>
      <c r="K103" s="2"/>
      <c r="L103" s="2"/>
    </row>
    <row r="104" spans="1:1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</row>
    <row r="105" spans="1:1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</row>
    <row r="106" spans="1:12" ht="15">
      <c r="A106" s="2"/>
      <c r="B106" s="39" t="s">
        <v>88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</row>
    <row r="107" spans="1:12">
      <c r="A107" s="2"/>
      <c r="B107" s="1" t="s">
        <v>0</v>
      </c>
      <c r="C107" s="34" t="str">
        <f>Consoles!I11</f>
        <v>2ª Fase</v>
      </c>
      <c r="D107" s="21" t="s">
        <v>74</v>
      </c>
      <c r="E107" s="2"/>
      <c r="F107" s="2"/>
      <c r="G107" s="2"/>
      <c r="H107" s="2"/>
      <c r="I107" s="2"/>
      <c r="J107" s="2"/>
      <c r="K107" s="2"/>
      <c r="L107" s="2"/>
    </row>
    <row r="108" spans="1:12">
      <c r="A108" s="2"/>
      <c r="B108" s="1" t="s">
        <v>36</v>
      </c>
      <c r="C108" s="34" t="str">
        <f>Consoles!I14</f>
        <v>Elastômero (Neoprene)</v>
      </c>
      <c r="D108" s="21" t="s">
        <v>75</v>
      </c>
      <c r="E108" s="2"/>
      <c r="F108" s="2"/>
      <c r="G108" s="2"/>
      <c r="H108" s="2"/>
      <c r="I108" s="2"/>
      <c r="J108" s="2"/>
      <c r="K108" s="2"/>
      <c r="L108" s="2"/>
    </row>
    <row r="109" spans="1:12">
      <c r="A109" s="2"/>
      <c r="B109" s="1" t="s">
        <v>104</v>
      </c>
      <c r="C109" s="33">
        <f>Consoles!C6</f>
        <v>40</v>
      </c>
      <c r="D109" s="21" t="s">
        <v>105</v>
      </c>
      <c r="E109" s="2"/>
      <c r="F109" s="2"/>
      <c r="G109" s="2"/>
      <c r="H109" s="2"/>
      <c r="I109" s="2"/>
      <c r="J109" s="2"/>
      <c r="K109" s="2"/>
      <c r="L109" s="2"/>
    </row>
    <row r="110" spans="1:12">
      <c r="A110" s="2"/>
      <c r="B110" s="1" t="s">
        <v>120</v>
      </c>
      <c r="C110" s="34" t="str">
        <f>Consoles!C7</f>
        <v>CA-50</v>
      </c>
      <c r="D110" s="21" t="s">
        <v>121</v>
      </c>
      <c r="E110" s="2"/>
      <c r="F110" s="2"/>
      <c r="G110" s="2"/>
      <c r="H110" s="2"/>
      <c r="I110" s="2"/>
      <c r="J110" s="2"/>
      <c r="K110" s="2"/>
      <c r="L110" s="2"/>
    </row>
    <row r="111" spans="1:12">
      <c r="A111" s="2"/>
      <c r="B111" s="1" t="s">
        <v>107</v>
      </c>
      <c r="C111" s="35" t="str">
        <f>Consoles!I10</f>
        <v>0,72*av2*fcd</v>
      </c>
      <c r="D111" s="21" t="s">
        <v>111</v>
      </c>
      <c r="E111" s="2"/>
      <c r="F111" s="2"/>
      <c r="G111" s="2"/>
      <c r="H111" s="2"/>
      <c r="I111" s="2"/>
      <c r="J111" s="2"/>
      <c r="K111" s="2"/>
      <c r="L111" s="2"/>
    </row>
    <row r="112" spans="1:1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</row>
    <row r="113" spans="1:1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</row>
    <row r="114" spans="1:1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</row>
    <row r="115" spans="1:1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</row>
    <row r="116" spans="1:12" ht="14.25">
      <c r="A116" s="2"/>
      <c r="B116" s="1" t="s">
        <v>331</v>
      </c>
      <c r="C116" s="11">
        <f>IF(fase="1ª Fase",1.1,1.2)</f>
        <v>1.2</v>
      </c>
      <c r="D116" s="21" t="s">
        <v>73</v>
      </c>
      <c r="E116" s="2"/>
      <c r="F116" s="2"/>
      <c r="G116" s="2"/>
      <c r="H116" s="2"/>
      <c r="I116" s="2"/>
      <c r="J116" s="2"/>
      <c r="K116" s="2"/>
      <c r="L116" s="2"/>
    </row>
    <row r="117" spans="1:12" ht="14.25">
      <c r="A117" s="2"/>
      <c r="B117" s="1" t="s">
        <v>332</v>
      </c>
      <c r="C117" s="35">
        <f>Consoles!I6</f>
        <v>1.4</v>
      </c>
      <c r="D117" s="21" t="s">
        <v>110</v>
      </c>
      <c r="E117" s="2"/>
      <c r="F117" s="2"/>
      <c r="G117" s="2"/>
      <c r="H117" s="2"/>
      <c r="I117" s="2"/>
      <c r="J117" s="2"/>
      <c r="K117" s="2"/>
      <c r="L117" s="2"/>
    </row>
    <row r="118" spans="1:12" ht="14.25">
      <c r="A118" s="2"/>
      <c r="B118" s="1" t="s">
        <v>333</v>
      </c>
      <c r="C118" s="35">
        <f>Consoles!I7</f>
        <v>1.4</v>
      </c>
      <c r="D118" s="21" t="s">
        <v>167</v>
      </c>
      <c r="E118" s="2"/>
      <c r="F118" s="2"/>
      <c r="G118" s="2"/>
      <c r="H118" s="2"/>
      <c r="I118" s="2"/>
      <c r="J118" s="2"/>
      <c r="K118" s="2"/>
      <c r="L118" s="2"/>
    </row>
    <row r="119" spans="1:12" ht="14.25">
      <c r="A119" s="2"/>
      <c r="B119" s="1" t="s">
        <v>334</v>
      </c>
      <c r="C119" s="35">
        <f>Consoles!I8</f>
        <v>1.1499999999999999</v>
      </c>
      <c r="D119" s="21" t="s">
        <v>122</v>
      </c>
      <c r="E119" s="2"/>
      <c r="F119" s="2"/>
      <c r="G119" s="2"/>
      <c r="H119" s="2"/>
      <c r="I119" s="2"/>
      <c r="J119" s="2"/>
      <c r="K119" s="2"/>
      <c r="L119" s="2"/>
    </row>
    <row r="120" spans="1:1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</row>
    <row r="121" spans="1:12">
      <c r="A121" s="2"/>
      <c r="B121" s="1" t="s">
        <v>28</v>
      </c>
      <c r="C121" s="36">
        <f>Consoles!C12</f>
        <v>15</v>
      </c>
      <c r="D121" s="21" t="s">
        <v>72</v>
      </c>
      <c r="E121" s="2"/>
      <c r="F121" s="2"/>
      <c r="G121" s="2"/>
      <c r="H121" s="2"/>
      <c r="I121" s="2"/>
      <c r="J121" s="2"/>
      <c r="K121" s="2"/>
      <c r="L121" s="2"/>
    </row>
    <row r="122" spans="1:1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</row>
    <row r="124" spans="1:12" ht="15">
      <c r="B124" s="39" t="s">
        <v>252</v>
      </c>
    </row>
    <row r="125" spans="1:12">
      <c r="B125" s="51" t="s">
        <v>223</v>
      </c>
    </row>
    <row r="126" spans="1:12">
      <c r="B126" s="1" t="s">
        <v>230</v>
      </c>
      <c r="C126" s="13">
        <f>Consoles!E33</f>
        <v>4</v>
      </c>
    </row>
    <row r="127" spans="1:12">
      <c r="B127" s="1" t="s">
        <v>226</v>
      </c>
      <c r="C127" s="14">
        <f>Diam.tir</f>
        <v>12.5</v>
      </c>
    </row>
    <row r="128" spans="1:12">
      <c r="B128" s="1" t="s">
        <v>231</v>
      </c>
      <c r="C128" s="7">
        <f>(PI()*(C127/20)^2)*C126</f>
        <v>4.908738521234052</v>
      </c>
    </row>
    <row r="129" spans="2:4" ht="14.25">
      <c r="B129" s="1" t="s">
        <v>335</v>
      </c>
      <c r="C129" s="15">
        <f>(0.21*(fck^2)^(1/3))/1.4</f>
        <v>1.7544106429277198</v>
      </c>
    </row>
    <row r="130" spans="2:4">
      <c r="B130" s="1" t="s">
        <v>303</v>
      </c>
      <c r="C130" s="12">
        <f>IF(aço="CA-25",1,IF(aço="CA-50",2.25,1.4))</f>
        <v>2.25</v>
      </c>
    </row>
    <row r="131" spans="2:4">
      <c r="B131" s="1" t="s">
        <v>304</v>
      </c>
      <c r="C131" s="12">
        <f>IF(aderência="Boa",1,0.7)</f>
        <v>0.7</v>
      </c>
    </row>
    <row r="132" spans="2:4">
      <c r="B132" s="1" t="s">
        <v>305</v>
      </c>
      <c r="C132" s="12">
        <f>IF(Diam.tir&gt;25,((132-Diam.tir)/100),1)</f>
        <v>1</v>
      </c>
    </row>
    <row r="133" spans="2:4">
      <c r="B133" s="1" t="s">
        <v>224</v>
      </c>
      <c r="C133" s="15">
        <f>fctd*C130*C131*C132</f>
        <v>2.7631967626111584</v>
      </c>
    </row>
    <row r="134" spans="2:4">
      <c r="B134" s="1" t="s">
        <v>306</v>
      </c>
      <c r="C134" s="12">
        <f>IF(gancho.tir="Sem gancho",1,0.7)</f>
        <v>0.7</v>
      </c>
    </row>
    <row r="135" spans="2:4">
      <c r="B135" s="1"/>
    </row>
    <row r="136" spans="2:4">
      <c r="B136" s="1" t="s">
        <v>225</v>
      </c>
      <c r="C136" s="6">
        <f>ROUNDUP((C127/4)*(fyk/1.15)*(1/fbd.1)/10,0)</f>
        <v>50</v>
      </c>
    </row>
    <row r="137" spans="2:4">
      <c r="B137" s="1" t="s">
        <v>227</v>
      </c>
      <c r="C137" s="6">
        <f>IF((Diam.tir*2.5)&gt;(anc.reta1*0.7),Diam.tir*2.5,anc.reta1*0.7)</f>
        <v>35</v>
      </c>
    </row>
    <row r="138" spans="2:4">
      <c r="B138" s="1" t="s">
        <v>228</v>
      </c>
      <c r="C138" s="6">
        <f>MAX((0.3*anc.reta1),(10*(Diam.tir/10)),10)</f>
        <v>15</v>
      </c>
    </row>
    <row r="139" spans="2:4">
      <c r="B139" s="1"/>
    </row>
    <row r="140" spans="2:4">
      <c r="B140" s="1" t="s">
        <v>232</v>
      </c>
      <c r="C140" s="7">
        <f>Consoles!C33</f>
        <v>4.8189599999999997</v>
      </c>
    </row>
    <row r="141" spans="2:4">
      <c r="B141" s="1" t="s">
        <v>229</v>
      </c>
      <c r="C141" s="6">
        <f>C134*anc.reta1*(C140/C128)</f>
        <v>34.359866444382973</v>
      </c>
    </row>
    <row r="142" spans="2:4">
      <c r="B142" s="1"/>
    </row>
    <row r="143" spans="2:4">
      <c r="B143" s="1" t="s">
        <v>233</v>
      </c>
      <c r="C143" s="6">
        <f>MAX(anc.reta1,C138)</f>
        <v>50</v>
      </c>
    </row>
    <row r="144" spans="2:4">
      <c r="B144" s="1" t="s">
        <v>234</v>
      </c>
      <c r="C144" s="6">
        <f>MAX(C137,C138)</f>
        <v>35</v>
      </c>
      <c r="D144" s="53"/>
    </row>
    <row r="145" spans="2:3">
      <c r="B145" s="1" t="s">
        <v>235</v>
      </c>
      <c r="C145" s="6">
        <f>IF(gancho.tir="Sem gancho",C143,C144)</f>
        <v>35</v>
      </c>
    </row>
    <row r="146" spans="2:3">
      <c r="B146" s="1"/>
    </row>
    <row r="147" spans="2:3">
      <c r="B147" s="1" t="s">
        <v>236</v>
      </c>
      <c r="C147" s="6">
        <f>IF(AND(C140&gt;0,C128&gt;=C140),MAX(C138,C141),C145)</f>
        <v>34.359866444382973</v>
      </c>
    </row>
    <row r="148" spans="2:3">
      <c r="B148" s="1" t="s">
        <v>346</v>
      </c>
      <c r="C148" s="6">
        <f>IF(gancho.tir="Com gancho",(ROUNDUP(((8*(C127/10))+tir.lb.final+(comprimento-cobr)),0)),(ROUNDUP(((comprimento-cobr)+tir.lb.final),0)))</f>
        <v>67</v>
      </c>
    </row>
    <row r="149" spans="2:3">
      <c r="B149" s="51" t="s">
        <v>425</v>
      </c>
      <c r="C149" s="6" t="str">
        <f>Consoles!G33</f>
        <v>Barra Soldada</v>
      </c>
    </row>
    <row r="150" spans="2:3">
      <c r="B150" s="1" t="s">
        <v>426</v>
      </c>
      <c r="C150" s="6">
        <f>IF(C149="Barra Soldada",MIN((20*(C127/10)),d.util),MIN((15*(C127/10)),d.util))</f>
        <v>21.875</v>
      </c>
    </row>
    <row r="151" spans="2:3">
      <c r="B151" s="1" t="s">
        <v>427</v>
      </c>
      <c r="C151" s="6">
        <f>(IF(C149="Barra Soldada",MIN(2.55,((1/6)*MIN(h,largura))),MIN(2.55,((1/8)*MIN(h,largura)))))*10</f>
        <v>25.5</v>
      </c>
    </row>
    <row r="152" spans="2:3">
      <c r="B152" s="1" t="s">
        <v>431</v>
      </c>
      <c r="C152" s="6">
        <f>(largura-((C184/10)*C185)-(2*cobr)-((C127/10)*C126))/(C126-1)</f>
        <v>4.666666666666667</v>
      </c>
    </row>
    <row r="153" spans="2:3">
      <c r="B153" s="1" t="s">
        <v>431</v>
      </c>
      <c r="C153" s="6">
        <f>(largura-((C184/10)*C185)-(2*cobr)-((C127/10)*C126))/(C126-1)*2</f>
        <v>9.3333333333333339</v>
      </c>
    </row>
    <row r="154" spans="2:3" ht="15">
      <c r="B154" s="39" t="s">
        <v>237</v>
      </c>
    </row>
    <row r="155" spans="2:3">
      <c r="B155" s="1" t="s">
        <v>238</v>
      </c>
      <c r="C155" s="43">
        <f>Consoles!E34</f>
        <v>4</v>
      </c>
    </row>
    <row r="156" spans="2:3">
      <c r="B156" s="1" t="s">
        <v>239</v>
      </c>
      <c r="C156" s="14">
        <f>Diam.cost</f>
        <v>5</v>
      </c>
    </row>
    <row r="157" spans="2:3" ht="15">
      <c r="B157"/>
      <c r="C157"/>
    </row>
    <row r="158" spans="2:3" ht="14.25">
      <c r="B158" s="1" t="s">
        <v>335</v>
      </c>
      <c r="C158" s="15">
        <f>fctd</f>
        <v>1.7544106429277198</v>
      </c>
    </row>
    <row r="159" spans="2:3">
      <c r="B159" s="1" t="s">
        <v>303</v>
      </c>
      <c r="C159" s="12">
        <f>C130</f>
        <v>2.25</v>
      </c>
    </row>
    <row r="160" spans="2:3">
      <c r="B160" s="1" t="s">
        <v>304</v>
      </c>
      <c r="C160" s="12">
        <f>C131</f>
        <v>0.7</v>
      </c>
    </row>
    <row r="161" spans="2:3">
      <c r="B161" s="1" t="s">
        <v>305</v>
      </c>
      <c r="C161" s="12">
        <f>IF(Diam.cost&gt;25,((132-Diam.cost)/100),1)</f>
        <v>1</v>
      </c>
    </row>
    <row r="162" spans="2:3">
      <c r="B162" s="1" t="s">
        <v>224</v>
      </c>
      <c r="C162" s="15">
        <f>C158*C159*C160*C161</f>
        <v>2.7631967626111584</v>
      </c>
    </row>
    <row r="163" spans="2:3">
      <c r="B163" s="1" t="s">
        <v>306</v>
      </c>
      <c r="C163" s="12">
        <f>IF(gancho.cost="Sem gancho",1,0.7)</f>
        <v>1</v>
      </c>
    </row>
    <row r="164" spans="2:3">
      <c r="B164" s="1"/>
    </row>
    <row r="165" spans="2:3">
      <c r="B165" s="1" t="s">
        <v>225</v>
      </c>
      <c r="C165" s="6">
        <f>ROUNDUP((C156/4)*(fyk/1.15)*(1/fbd.2)/10,0)</f>
        <v>20</v>
      </c>
    </row>
    <row r="166" spans="2:3">
      <c r="B166" s="1" t="s">
        <v>227</v>
      </c>
      <c r="C166" s="6">
        <f>IF((Diam.cost*2.5)&gt;(anc.reta2*0.7),Diam.cost*2.5,anc.reta2*0.7)</f>
        <v>14</v>
      </c>
    </row>
    <row r="167" spans="2:3">
      <c r="B167" s="1" t="s">
        <v>228</v>
      </c>
      <c r="C167" s="6">
        <f>MAX((0.3*anc.reta2),(10*(Diam.cost/10)),10)</f>
        <v>10</v>
      </c>
    </row>
    <row r="168" spans="2:3">
      <c r="B168" s="1"/>
    </row>
    <row r="169" spans="2:3">
      <c r="B169" s="1" t="s">
        <v>241</v>
      </c>
      <c r="C169" s="16">
        <f>Consoles!C34</f>
        <v>1.5566400000000002</v>
      </c>
    </row>
    <row r="170" spans="2:3">
      <c r="B170" s="1" t="s">
        <v>229</v>
      </c>
      <c r="C170" s="6">
        <f>C163*anc.reta2*(C169/as.cost.adotado)</f>
        <v>19.819756049165441</v>
      </c>
    </row>
    <row r="171" spans="2:3">
      <c r="B171" s="1"/>
    </row>
    <row r="172" spans="2:3">
      <c r="B172" s="1" t="s">
        <v>233</v>
      </c>
      <c r="C172" s="6">
        <f>MAX(anc.reta2,C167)</f>
        <v>20</v>
      </c>
    </row>
    <row r="173" spans="2:3">
      <c r="B173" s="1" t="s">
        <v>234</v>
      </c>
      <c r="C173" s="6">
        <f>MAX(C166,C167)</f>
        <v>14</v>
      </c>
    </row>
    <row r="174" spans="2:3">
      <c r="B174" s="1" t="s">
        <v>235</v>
      </c>
      <c r="C174" s="6">
        <f>IF(gancho.cost="Sem gancho",C172,C173)</f>
        <v>20</v>
      </c>
    </row>
    <row r="175" spans="2:3">
      <c r="B175" s="1"/>
    </row>
    <row r="176" spans="2:3">
      <c r="B176" s="1" t="s">
        <v>236</v>
      </c>
      <c r="C176" s="6">
        <f>IF(AND(C169&gt;0,C157&gt;=C169),MAX(C167,C170),C174)</f>
        <v>20</v>
      </c>
    </row>
    <row r="177" spans="2:4">
      <c r="B177" s="51" t="s">
        <v>425</v>
      </c>
    </row>
    <row r="178" spans="2:4">
      <c r="B178" s="1" t="s">
        <v>430</v>
      </c>
      <c r="C178" s="6">
        <f>MIN(10,cota.A)</f>
        <v>10</v>
      </c>
    </row>
    <row r="179" spans="2:4">
      <c r="B179" s="1" t="s">
        <v>432</v>
      </c>
      <c r="C179" s="6">
        <f>((2/3)*d.util)/(IF(C155&gt;1,C155,2)-1)</f>
        <v>4.8611111111111107</v>
      </c>
    </row>
    <row r="180" spans="2:4">
      <c r="B180" s="1"/>
    </row>
    <row r="181" spans="2:4">
      <c r="B181" s="1"/>
    </row>
    <row r="182" spans="2:4">
      <c r="B182" s="21" t="s">
        <v>292</v>
      </c>
    </row>
    <row r="183" spans="2:4">
      <c r="B183" s="1" t="s">
        <v>238</v>
      </c>
      <c r="C183" s="17">
        <f>Consoles!E35</f>
        <v>4</v>
      </c>
    </row>
    <row r="184" spans="2:4">
      <c r="B184" s="1" t="s">
        <v>239</v>
      </c>
      <c r="C184" s="14">
        <f>Diam.estr</f>
        <v>5</v>
      </c>
    </row>
    <row r="185" spans="2:4">
      <c r="B185" s="1" t="s">
        <v>240</v>
      </c>
      <c r="C185" s="18">
        <f>Consoles!G35</f>
        <v>2</v>
      </c>
    </row>
    <row r="186" spans="2:4">
      <c r="B186" s="1" t="s">
        <v>293</v>
      </c>
      <c r="C186" s="7">
        <f>(PI()*(C184/20)^2)*C185*C183</f>
        <v>1.5707963267948966</v>
      </c>
    </row>
    <row r="187" spans="2:4">
      <c r="B187" s="51" t="s">
        <v>425</v>
      </c>
    </row>
    <row r="188" spans="2:4">
      <c r="B188" s="1" t="s">
        <v>428</v>
      </c>
      <c r="C188" s="6">
        <f>MIN(cota.A,10)</f>
        <v>10</v>
      </c>
    </row>
    <row r="189" spans="2:4">
      <c r="B189" s="1" t="s">
        <v>427</v>
      </c>
      <c r="C189" s="52">
        <f>(MIN(h,largura)/15)*10</f>
        <v>16.666666666666668</v>
      </c>
    </row>
    <row r="190" spans="2:4">
      <c r="B190" s="1"/>
    </row>
    <row r="191" spans="2:4" ht="15">
      <c r="B191" s="39" t="s">
        <v>242</v>
      </c>
    </row>
    <row r="192" spans="2:4">
      <c r="B192" s="1" t="s">
        <v>244</v>
      </c>
      <c r="C192" s="15">
        <f>0.85*(1-fck/250)*(fck/1.4)</f>
        <v>20.399999999999999</v>
      </c>
      <c r="D192" s="21" t="s">
        <v>246</v>
      </c>
    </row>
    <row r="193" spans="2:4">
      <c r="B193" s="1" t="s">
        <v>243</v>
      </c>
      <c r="C193" s="6">
        <f>Fsd*100/(largura*fcd.1)</f>
        <v>4.9411764705882355</v>
      </c>
      <c r="D193" s="21" t="s">
        <v>245</v>
      </c>
    </row>
    <row r="194" spans="2:4">
      <c r="B194" s="1" t="s">
        <v>2</v>
      </c>
      <c r="C194" s="6">
        <f>(a.1/2)+cota.A+((Hsd/Fsd)*dlinha)</f>
        <v>15.470588235294118</v>
      </c>
      <c r="D194" s="21" t="s">
        <v>247</v>
      </c>
    </row>
    <row r="195" spans="2:4">
      <c r="B195" s="1" t="s">
        <v>26</v>
      </c>
      <c r="C195" s="6">
        <f>d.util-SQRT((d.util^2)-(2*a.1*a.))</f>
        <v>3.8297842392724206</v>
      </c>
      <c r="D195" s="21" t="s">
        <v>248</v>
      </c>
    </row>
    <row r="196" spans="2:4">
      <c r="B196" s="1" t="s">
        <v>249</v>
      </c>
      <c r="C196" s="19">
        <f>linhaneutra/(0.8*d.util)</f>
        <v>0.21884481367270975</v>
      </c>
      <c r="D196" s="21" t="s">
        <v>277</v>
      </c>
    </row>
    <row r="197" spans="2:4">
      <c r="B197" s="1" t="s">
        <v>250</v>
      </c>
      <c r="C197" s="37">
        <f>Consoles!C16</f>
        <v>0.4</v>
      </c>
      <c r="D197" s="21" t="s">
        <v>278</v>
      </c>
    </row>
    <row r="199" spans="2:4" ht="15">
      <c r="B199" s="39" t="s">
        <v>347</v>
      </c>
    </row>
    <row r="200" spans="2:4">
      <c r="B200" s="40" t="s">
        <v>254</v>
      </c>
    </row>
    <row r="201" spans="2:4">
      <c r="B201" s="1" t="s">
        <v>256</v>
      </c>
      <c r="C201" s="7">
        <f>0.04*largura*(d.util)*fck/fyk</f>
        <v>1.75</v>
      </c>
      <c r="D201" s="21" t="s">
        <v>279</v>
      </c>
    </row>
    <row r="202" spans="2:4">
      <c r="B202" s="40" t="s">
        <v>255</v>
      </c>
    </row>
    <row r="203" spans="2:4">
      <c r="B203" s="26" t="s">
        <v>13</v>
      </c>
      <c r="C203" s="19">
        <f>IF(fck&lt;=50,0.8,0.8-(fck-50)/400)</f>
        <v>0.8</v>
      </c>
      <c r="D203" s="21" t="s">
        <v>281</v>
      </c>
    </row>
    <row r="204" spans="2:4" ht="14.25">
      <c r="B204" s="26" t="s">
        <v>336</v>
      </c>
      <c r="C204" s="19">
        <f>IF(fck&lt;=50,0.85,0.85*(1-(fck-50)/200))</f>
        <v>0.85</v>
      </c>
      <c r="D204" s="21" t="s">
        <v>280</v>
      </c>
    </row>
    <row r="205" spans="2:4" ht="14.25">
      <c r="B205" s="26" t="s">
        <v>337</v>
      </c>
      <c r="C205" s="15">
        <f>0.3*fck^(2/3)</f>
        <v>3.5088212858554391</v>
      </c>
      <c r="D205" s="21" t="s">
        <v>282</v>
      </c>
    </row>
    <row r="206" spans="2:4" ht="14.25">
      <c r="B206" s="26" t="s">
        <v>338</v>
      </c>
      <c r="C206" s="15">
        <f>1.3*C205</f>
        <v>4.5614676716120712</v>
      </c>
      <c r="D206" s="21" t="s">
        <v>283</v>
      </c>
    </row>
    <row r="207" spans="2:4" ht="14.25">
      <c r="B207" s="26" t="s">
        <v>339</v>
      </c>
      <c r="C207" s="38">
        <f>0.8*C81*C206/10</f>
        <v>950.30576491918168</v>
      </c>
      <c r="D207" s="21" t="s">
        <v>284</v>
      </c>
    </row>
    <row r="208" spans="2:4" ht="14.25">
      <c r="B208" s="26" t="s">
        <v>340</v>
      </c>
      <c r="C208" s="19">
        <f>C207/largura/C82^2/h^2/(fck/14)</f>
        <v>2.7803231522206914E-2</v>
      </c>
      <c r="D208" s="21" t="s">
        <v>285</v>
      </c>
    </row>
    <row r="209" spans="2:4" ht="14.25">
      <c r="B209" s="26" t="s">
        <v>341</v>
      </c>
      <c r="C209" s="19">
        <f>(C204*C203-SQRT(C204^2*C203^2-2*C204*C203^2*C208))/C204/C203^2</f>
        <v>4.1578617761705586E-2</v>
      </c>
      <c r="D209" s="21" t="s">
        <v>286</v>
      </c>
    </row>
    <row r="210" spans="2:4" ht="14.25">
      <c r="B210" s="26" t="s">
        <v>342</v>
      </c>
      <c r="C210" s="19">
        <f>1-C203/2*C209</f>
        <v>0.98336855289531777</v>
      </c>
      <c r="D210" s="21" t="s">
        <v>287</v>
      </c>
    </row>
    <row r="211" spans="2:4" ht="15">
      <c r="B211" s="26" t="s">
        <v>343</v>
      </c>
      <c r="C211" s="7">
        <f>C207/C210/C82/h/50*1.15</f>
        <v>1.0160774715516818</v>
      </c>
      <c r="D211" s="21" t="s">
        <v>290</v>
      </c>
    </row>
    <row r="212" spans="2:4" ht="14.25">
      <c r="B212" s="26" t="s">
        <v>344</v>
      </c>
      <c r="C212" s="19">
        <f>C211/C78*100</f>
        <v>0.1625723954482691</v>
      </c>
      <c r="D212" s="21" t="s">
        <v>288</v>
      </c>
    </row>
    <row r="213" spans="2:4" ht="14.25">
      <c r="B213" s="26" t="s">
        <v>345</v>
      </c>
      <c r="C213" s="19">
        <f>IF(C212&gt;=0.15,C212,0.15)</f>
        <v>0.1625723954482691</v>
      </c>
      <c r="D213" s="21" t="s">
        <v>289</v>
      </c>
    </row>
    <row r="215" spans="2:4">
      <c r="B215" s="26" t="s">
        <v>261</v>
      </c>
      <c r="C215" s="7">
        <f>MAX(C201,C211)</f>
        <v>1.75</v>
      </c>
      <c r="D215" s="21" t="s">
        <v>291</v>
      </c>
    </row>
    <row r="217" spans="2:4" ht="15">
      <c r="B217" s="39" t="s">
        <v>348</v>
      </c>
    </row>
    <row r="218" spans="2:4">
      <c r="B218" s="40" t="s">
        <v>254</v>
      </c>
    </row>
    <row r="219" spans="2:4">
      <c r="B219" s="41" t="s">
        <v>349</v>
      </c>
      <c r="C219" s="42">
        <f>0.4*(MAX(Asv,astir.min)/(d.util/100))</f>
        <v>7.1160685714285723</v>
      </c>
    </row>
    <row r="220" spans="2:4">
      <c r="B220" s="41" t="s">
        <v>350</v>
      </c>
      <c r="C220" s="42">
        <f>0.5*(MAX(asv.muitocurto,astir.min.muitocurto)/(d.util/100))</f>
        <v>10.5984</v>
      </c>
    </row>
    <row r="221" spans="2:4">
      <c r="B221" s="41" t="s">
        <v>351</v>
      </c>
      <c r="C221" s="42">
        <f>0.15*largura</f>
        <v>3.75</v>
      </c>
    </row>
    <row r="223" spans="2:4">
      <c r="B223" s="41" t="s">
        <v>352</v>
      </c>
      <c r="C223" s="7">
        <f>MAX(C219,C221)*(2/3)*(d.util/100)</f>
        <v>1.03776</v>
      </c>
    </row>
    <row r="224" spans="2:4">
      <c r="B224" s="41" t="s">
        <v>354</v>
      </c>
      <c r="C224" s="7">
        <f>MAX(C219,C221)*(d.util/100)</f>
        <v>1.5566400000000002</v>
      </c>
    </row>
    <row r="225" spans="2:3">
      <c r="B225" s="41" t="s">
        <v>353</v>
      </c>
      <c r="C225" s="7">
        <f>MAX(C220,C221)*(2/3)*(d.util/100)</f>
        <v>1.5455999999999999</v>
      </c>
    </row>
    <row r="226" spans="2:3">
      <c r="B226" s="41" t="s">
        <v>355</v>
      </c>
      <c r="C226" s="7">
        <f>MAX(C220,C221)*(d.util/100)</f>
        <v>2.3184</v>
      </c>
    </row>
    <row r="228" spans="2:3">
      <c r="B228" s="1" t="s">
        <v>238</v>
      </c>
      <c r="C228" s="43">
        <f>Consoles!E34</f>
        <v>4</v>
      </c>
    </row>
    <row r="229" spans="2:3">
      <c r="B229" s="1" t="s">
        <v>239</v>
      </c>
      <c r="C229" s="14">
        <f>Diam.cost</f>
        <v>5</v>
      </c>
    </row>
    <row r="230" spans="2:3">
      <c r="B230" s="1" t="s">
        <v>240</v>
      </c>
      <c r="C230" s="18">
        <f>Consoles!G34</f>
        <v>2</v>
      </c>
    </row>
    <row r="231" spans="2:3">
      <c r="B231" s="41" t="s">
        <v>358</v>
      </c>
      <c r="C231" s="7">
        <f>PI()*(C229/20)^2*C230*C228</f>
        <v>1.5707963267948966</v>
      </c>
    </row>
  </sheetData>
  <pageMargins left="0.70866141732283472" right="0.70866141732283472" top="0.74803149606299213" bottom="0.74803149606299213" header="0.31496062992125984" footer="0.31496062992125984"/>
  <pageSetup paperSize="9" scale="42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131</vt:i4>
      </vt:variant>
    </vt:vector>
  </HeadingPairs>
  <TitlesOfParts>
    <vt:vector size="143" baseType="lpstr">
      <vt:lpstr>Início</vt:lpstr>
      <vt:lpstr>Consoles</vt:lpstr>
      <vt:lpstr>Dados</vt:lpstr>
      <vt:lpstr>b15</vt:lpstr>
      <vt:lpstr>b20</vt:lpstr>
      <vt:lpstr>b25</vt:lpstr>
      <vt:lpstr>b30</vt:lpstr>
      <vt:lpstr>b40</vt:lpstr>
      <vt:lpstr>misula</vt:lpstr>
      <vt:lpstr>Neoprene</vt:lpstr>
      <vt:lpstr>acesso</vt:lpstr>
      <vt:lpstr>Cálculo</vt:lpstr>
      <vt:lpstr>a.</vt:lpstr>
      <vt:lpstr>a.1</vt:lpstr>
      <vt:lpstr>a_d</vt:lpstr>
      <vt:lpstr>AB</vt:lpstr>
      <vt:lpstr>abie</vt:lpstr>
      <vt:lpstr>AC</vt:lpstr>
      <vt:lpstr>aço</vt:lpstr>
      <vt:lpstr>AD</vt:lpstr>
      <vt:lpstr>aderência</vt:lpstr>
      <vt:lpstr>alfa</vt:lpstr>
      <vt:lpstr>anc.reta1</vt:lpstr>
      <vt:lpstr>anc.reta2</vt:lpstr>
      <vt:lpstr>Anc.tir</vt:lpstr>
      <vt:lpstr>aparelho</vt:lpstr>
      <vt:lpstr>aparelho.an</vt:lpstr>
      <vt:lpstr>aparelho.bn</vt:lpstr>
      <vt:lpstr>aparelho.e1</vt:lpstr>
      <vt:lpstr>aparelho.e2</vt:lpstr>
      <vt:lpstr>aparelho.e3</vt:lpstr>
      <vt:lpstr>aparelho.esp</vt:lpstr>
      <vt:lpstr>aparelho.nkmax</vt:lpstr>
      <vt:lpstr>aparelho.tmax</vt:lpstr>
      <vt:lpstr>'b15'!Area_de_impressao</vt:lpstr>
      <vt:lpstr>'b20'!Area_de_impressao</vt:lpstr>
      <vt:lpstr>'b25'!Area_de_impressao</vt:lpstr>
      <vt:lpstr>'b30'!Area_de_impressao</vt:lpstr>
      <vt:lpstr>'b40'!Area_de_impressao</vt:lpstr>
      <vt:lpstr>Consoles!Area_de_impressao</vt:lpstr>
      <vt:lpstr>Início!Area_de_impressao</vt:lpstr>
      <vt:lpstr>misula!Area_de_impressao</vt:lpstr>
      <vt:lpstr>Neoprene!Area_de_impressao</vt:lpstr>
      <vt:lpstr>arm.tir</vt:lpstr>
      <vt:lpstr>as.cost</vt:lpstr>
      <vt:lpstr>as.cost.adotado</vt:lpstr>
      <vt:lpstr>as.cost.muitocurto</vt:lpstr>
      <vt:lpstr>as.est.muitocurtor</vt:lpstr>
      <vt:lpstr>as.estr</vt:lpstr>
      <vt:lpstr>as.tir</vt:lpstr>
      <vt:lpstr>as.tirmuitocurto</vt:lpstr>
      <vt:lpstr>asestr.adotado</vt:lpstr>
      <vt:lpstr>Ash</vt:lpstr>
      <vt:lpstr>astir.adotado</vt:lpstr>
      <vt:lpstr>astir.min</vt:lpstr>
      <vt:lpstr>astir.min.muitocurto</vt:lpstr>
      <vt:lpstr>Asv</vt:lpstr>
      <vt:lpstr>asv.muitocurto</vt:lpstr>
      <vt:lpstr>BD</vt:lpstr>
      <vt:lpstr>cobr</vt:lpstr>
      <vt:lpstr>comprimento</vt:lpstr>
      <vt:lpstr>cost.lb.final</vt:lpstr>
      <vt:lpstr>cota.A</vt:lpstr>
      <vt:lpstr>d.util</vt:lpstr>
      <vt:lpstr>Diam.cost</vt:lpstr>
      <vt:lpstr>Diam.estr</vt:lpstr>
      <vt:lpstr>Diam.tir</vt:lpstr>
      <vt:lpstr>dlinha</vt:lpstr>
      <vt:lpstr>entrada.1</vt:lpstr>
      <vt:lpstr>entrada.10</vt:lpstr>
      <vt:lpstr>entrada.11</vt:lpstr>
      <vt:lpstr>entrada.12</vt:lpstr>
      <vt:lpstr>entrada.13</vt:lpstr>
      <vt:lpstr>entrada.14</vt:lpstr>
      <vt:lpstr>entrada.15</vt:lpstr>
      <vt:lpstr>entrada.16</vt:lpstr>
      <vt:lpstr>entrada.17</vt:lpstr>
      <vt:lpstr>entrada.18</vt:lpstr>
      <vt:lpstr>entrada.19</vt:lpstr>
      <vt:lpstr>entrada.2</vt:lpstr>
      <vt:lpstr>entrada.20</vt:lpstr>
      <vt:lpstr>entrada.21</vt:lpstr>
      <vt:lpstr>entrada.22</vt:lpstr>
      <vt:lpstr>entrada.23</vt:lpstr>
      <vt:lpstr>entrada.24</vt:lpstr>
      <vt:lpstr>entrada.25</vt:lpstr>
      <vt:lpstr>entrada.26</vt:lpstr>
      <vt:lpstr>entrada.27</vt:lpstr>
      <vt:lpstr>entrada.28</vt:lpstr>
      <vt:lpstr>entrada.29</vt:lpstr>
      <vt:lpstr>entrada.3</vt:lpstr>
      <vt:lpstr>entrada.4</vt:lpstr>
      <vt:lpstr>entrada.5</vt:lpstr>
      <vt:lpstr>entrada.6</vt:lpstr>
      <vt:lpstr>entrada.7</vt:lpstr>
      <vt:lpstr>entrada.8</vt:lpstr>
      <vt:lpstr>entrada.9</vt:lpstr>
      <vt:lpstr>fase</vt:lpstr>
      <vt:lpstr>fbd.1</vt:lpstr>
      <vt:lpstr>fbd.2</vt:lpstr>
      <vt:lpstr>fcd</vt:lpstr>
      <vt:lpstr>fcd.1</vt:lpstr>
      <vt:lpstr>fcd.calc</vt:lpstr>
      <vt:lpstr>fcd.muitocurto</vt:lpstr>
      <vt:lpstr>fck</vt:lpstr>
      <vt:lpstr>fctd</vt:lpstr>
      <vt:lpstr>Fsd</vt:lpstr>
      <vt:lpstr>fyd</vt:lpstr>
      <vt:lpstr>fyk</vt:lpstr>
      <vt:lpstr>gancho.cost</vt:lpstr>
      <vt:lpstr>gancho.tir</vt:lpstr>
      <vt:lpstr>h</vt:lpstr>
      <vt:lpstr>hbie</vt:lpstr>
      <vt:lpstr>Hsd</vt:lpstr>
      <vt:lpstr>largura</vt:lpstr>
      <vt:lpstr>lim.mbt</vt:lpstr>
      <vt:lpstr>linhaneutra</vt:lpstr>
      <vt:lpstr>mi</vt:lpstr>
      <vt:lpstr>Nk</vt:lpstr>
      <vt:lpstr>px</vt:lpstr>
      <vt:lpstr>qtd.cost</vt:lpstr>
      <vt:lpstr>qtd.estr</vt:lpstr>
      <vt:lpstr>qtd.tir</vt:lpstr>
      <vt:lpstr>Rcd</vt:lpstr>
      <vt:lpstr>sigma.bie</vt:lpstr>
      <vt:lpstr>taxa.arm</vt:lpstr>
      <vt:lpstr>taxa.arm.muitocurto</vt:lpstr>
      <vt:lpstr>taxa.mec</vt:lpstr>
      <vt:lpstr>taxa.mec.muitocurto</vt:lpstr>
      <vt:lpstr>teta</vt:lpstr>
      <vt:lpstr>tipologia</vt:lpstr>
      <vt:lpstr>tir.lb.final</vt:lpstr>
      <vt:lpstr>tirante.c.total</vt:lpstr>
      <vt:lpstr>twd</vt:lpstr>
      <vt:lpstr>twu.1</vt:lpstr>
      <vt:lpstr>twu.2</vt:lpstr>
      <vt:lpstr>twu.3</vt:lpstr>
      <vt:lpstr>x_d</vt:lpstr>
      <vt:lpstr>x_d.lim</vt:lpstr>
      <vt:lpstr>yc</vt:lpstr>
      <vt:lpstr>yconc</vt:lpstr>
      <vt:lpstr>yk</vt:lpstr>
      <vt:lpstr>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</dc:creator>
  <cp:lastModifiedBy>Guilherme Luiz Nardelli</cp:lastModifiedBy>
  <cp:lastPrinted>2024-03-04T21:39:40Z</cp:lastPrinted>
  <dcterms:created xsi:type="dcterms:W3CDTF">2015-06-05T18:19:34Z</dcterms:created>
  <dcterms:modified xsi:type="dcterms:W3CDTF">2024-09-03T23:43:59Z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2023-02-20T17:38:27Z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a796cfe6-0fef-412d-bb4d-50d43602c5de</vt:lpwstr>
  </property>
  <property fmtid="{D5CDD505-2E9C-101B-9397-08002B2CF9AE}" pid="7" name="MSIP_Label_defa4170-0d19-0005-0004-bc88714345d2_ActionId">
    <vt:lpwstr>a1e4090d-113f-4a64-9446-35b4a9db270f</vt:lpwstr>
  </property>
  <property fmtid="{D5CDD505-2E9C-101B-9397-08002B2CF9AE}" pid="8" name="MSIP_Label_defa4170-0d19-0005-0004-bc88714345d2_ContentBits">
    <vt:lpwstr>0</vt:lpwstr>
  </property>
</Properties>
</file>