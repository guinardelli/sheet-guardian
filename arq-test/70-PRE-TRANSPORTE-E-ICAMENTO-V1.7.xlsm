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50-Biblioteca-Tecnica\50-Planilhas\10-GN-ESTRUTURAS\10-Pre-moldado\"/>
    </mc:Choice>
  </mc:AlternateContent>
  <xr:revisionPtr revIDLastSave="0" documentId="13_ncr:1_{95996F0C-7D26-4980-9438-C45BE3351673}" xr6:coauthVersionLast="47" xr6:coauthVersionMax="47" xr10:uidLastSave="{00000000-0000-0000-0000-000000000000}"/>
  <bookViews>
    <workbookView showSheetTabs="0" xWindow="11670" yWindow="3075" windowWidth="22005" windowHeight="7995" tabRatio="340" activeTab="1" xr2:uid="{D421EFB1-6A6B-4642-85CB-3296960ED74D}"/>
  </bookViews>
  <sheets>
    <sheet name="Início" sheetId="2" r:id="rId1"/>
    <sheet name="1 ponto" sheetId="1" r:id="rId2"/>
    <sheet name="2 pontos" sheetId="5" r:id="rId3"/>
  </sheets>
  <definedNames>
    <definedName name="_xlnm.Print_Area" localSheetId="1">'1 ponto'!$B$4:$N$52</definedName>
    <definedName name="_xlnm.Print_Area" localSheetId="2">'2 pontos'!$B$4:$N$52</definedName>
    <definedName name="_xlnm.Print_Area" localSheetId="0">Início!$C$4:$R$34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'1 ponto'!$G$7</definedName>
    <definedName name="solver_lhs2" localSheetId="1" hidden="1">'1 ponto'!$G$7</definedName>
    <definedName name="solver_lhs3" localSheetId="1" hidden="1">'1 ponto'!$M$15</definedName>
    <definedName name="solver_lhs4" localSheetId="1" hidden="1">'1 ponto'!$G$7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'1 ponto'!$M$15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el3" localSheetId="1" hidden="1">2</definedName>
    <definedName name="solver_rel4" localSheetId="1" hidden="1">3</definedName>
    <definedName name="solver_rhs1" localSheetId="1" hidden="1">24</definedName>
    <definedName name="solver_rhs2" localSheetId="1" hidden="1">15</definedName>
    <definedName name="solver_rhs3" localSheetId="1" hidden="1">1</definedName>
    <definedName name="solver_rhs4" localSheetId="1" hidden="1">15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1" i="5" l="1"/>
  <c r="C11" i="1"/>
  <c r="W24" i="5"/>
  <c r="W24" i="1"/>
  <c r="H52" i="5" l="1"/>
  <c r="H42" i="5"/>
  <c r="H43" i="5" s="1"/>
  <c r="H44" i="5" s="1"/>
  <c r="H16" i="5"/>
  <c r="H11" i="5" s="1"/>
  <c r="M13" i="5"/>
  <c r="G11" i="5"/>
  <c r="G12" i="5" s="1"/>
  <c r="E11" i="5"/>
  <c r="N9" i="5"/>
  <c r="G9" i="5"/>
  <c r="G10" i="5" s="1"/>
  <c r="Q8" i="5"/>
  <c r="Q7" i="5"/>
  <c r="T5" i="5"/>
  <c r="T8" i="5" s="1"/>
  <c r="H15" i="5" l="1"/>
  <c r="K15" i="5" s="1"/>
  <c r="H10" i="5"/>
  <c r="I10" i="5" s="1"/>
  <c r="H13" i="5"/>
  <c r="K13" i="5" s="1"/>
  <c r="H14" i="5"/>
  <c r="I14" i="5" s="1"/>
  <c r="T9" i="5"/>
  <c r="T6" i="5"/>
  <c r="T7" i="5"/>
  <c r="W6" i="5" s="1"/>
  <c r="K42" i="5"/>
  <c r="J42" i="5"/>
  <c r="J16" i="5"/>
  <c r="J44" i="5"/>
  <c r="K16" i="5"/>
  <c r="J6" i="5"/>
  <c r="K6" i="5"/>
  <c r="J11" i="5"/>
  <c r="J52" i="5"/>
  <c r="K44" i="5"/>
  <c r="K52" i="5"/>
  <c r="K11" i="5"/>
  <c r="J43" i="5"/>
  <c r="K43" i="5"/>
  <c r="H17" i="5"/>
  <c r="H18" i="5" s="1"/>
  <c r="H19" i="5" s="1"/>
  <c r="H20" i="5" s="1"/>
  <c r="H21" i="5" s="1"/>
  <c r="H22" i="5" s="1"/>
  <c r="H12" i="5"/>
  <c r="K12" i="5" s="1"/>
  <c r="E12" i="5"/>
  <c r="H45" i="5"/>
  <c r="H46" i="5" s="1"/>
  <c r="K46" i="5" s="1"/>
  <c r="H7" i="5"/>
  <c r="I7" i="5" s="1"/>
  <c r="H8" i="5"/>
  <c r="K8" i="5" s="1"/>
  <c r="H9" i="5"/>
  <c r="J9" i="5" s="1"/>
  <c r="I11" i="5"/>
  <c r="H42" i="1"/>
  <c r="H52" i="1"/>
  <c r="H16" i="1"/>
  <c r="H10" i="1" s="1"/>
  <c r="T5" i="1"/>
  <c r="T8" i="1" s="1"/>
  <c r="Q8" i="1"/>
  <c r="Q7" i="1"/>
  <c r="N9" i="1"/>
  <c r="M13" i="1"/>
  <c r="J15" i="5" l="1"/>
  <c r="I15" i="5"/>
  <c r="K10" i="5"/>
  <c r="J13" i="5"/>
  <c r="K14" i="5"/>
  <c r="I13" i="5"/>
  <c r="J10" i="5"/>
  <c r="J14" i="5"/>
  <c r="I8" i="5"/>
  <c r="M17" i="5"/>
  <c r="J8" i="5"/>
  <c r="K20" i="5"/>
  <c r="I9" i="5"/>
  <c r="K21" i="5"/>
  <c r="H23" i="5"/>
  <c r="K23" i="5" s="1"/>
  <c r="K22" i="5"/>
  <c r="K17" i="5"/>
  <c r="J46" i="5"/>
  <c r="K19" i="5"/>
  <c r="K18" i="5"/>
  <c r="K9" i="5"/>
  <c r="K45" i="5"/>
  <c r="J12" i="5"/>
  <c r="K7" i="5"/>
  <c r="J45" i="5"/>
  <c r="I12" i="5"/>
  <c r="J7" i="5"/>
  <c r="H47" i="5"/>
  <c r="H17" i="1"/>
  <c r="H9" i="1"/>
  <c r="H8" i="1"/>
  <c r="H7" i="1"/>
  <c r="H12" i="1"/>
  <c r="H15" i="1"/>
  <c r="H14" i="1"/>
  <c r="H13" i="1"/>
  <c r="H11" i="1"/>
  <c r="H43" i="1"/>
  <c r="H44" i="1" s="1"/>
  <c r="H45" i="1" s="1"/>
  <c r="H46" i="1" s="1"/>
  <c r="H47" i="1" s="1"/>
  <c r="H48" i="1" s="1"/>
  <c r="H49" i="1" s="1"/>
  <c r="H50" i="1" s="1"/>
  <c r="H51" i="1" s="1"/>
  <c r="T9" i="1"/>
  <c r="T7" i="1"/>
  <c r="T6" i="1"/>
  <c r="K47" i="5" l="1"/>
  <c r="J47" i="5"/>
  <c r="H24" i="5"/>
  <c r="K24" i="5" s="1"/>
  <c r="H48" i="5"/>
  <c r="H18" i="1"/>
  <c r="W6" i="1"/>
  <c r="E11" i="1"/>
  <c r="J17" i="1" s="1"/>
  <c r="G9" i="1"/>
  <c r="G11" i="1"/>
  <c r="J48" i="5" l="1"/>
  <c r="K48" i="5"/>
  <c r="H25" i="5"/>
  <c r="K25" i="5" s="1"/>
  <c r="H49" i="5"/>
  <c r="H19" i="1"/>
  <c r="J18" i="1"/>
  <c r="J47" i="1"/>
  <c r="J48" i="1"/>
  <c r="J49" i="1"/>
  <c r="J50" i="1"/>
  <c r="I52" i="1"/>
  <c r="I51" i="1" s="1"/>
  <c r="I50" i="1" s="1"/>
  <c r="I49" i="1" s="1"/>
  <c r="I48" i="1" s="1"/>
  <c r="I47" i="1" s="1"/>
  <c r="I46" i="1" s="1"/>
  <c r="I45" i="1" s="1"/>
  <c r="I44" i="1" s="1"/>
  <c r="I43" i="1" s="1"/>
  <c r="I42" i="1" s="1"/>
  <c r="J44" i="1"/>
  <c r="J43" i="1"/>
  <c r="J45" i="1"/>
  <c r="J46" i="1"/>
  <c r="J8" i="1"/>
  <c r="I11" i="1"/>
  <c r="J9" i="1"/>
  <c r="I12" i="1"/>
  <c r="J10" i="1"/>
  <c r="I13" i="1"/>
  <c r="J13" i="1"/>
  <c r="I16" i="1"/>
  <c r="J11" i="1"/>
  <c r="I14" i="1"/>
  <c r="J12" i="1"/>
  <c r="I15" i="1"/>
  <c r="J15" i="1"/>
  <c r="I8" i="1"/>
  <c r="J14" i="1"/>
  <c r="J16" i="1"/>
  <c r="I9" i="1"/>
  <c r="I10" i="1"/>
  <c r="G10" i="1"/>
  <c r="G12" i="1"/>
  <c r="M17" i="1"/>
  <c r="J6" i="1"/>
  <c r="J52" i="1"/>
  <c r="J42" i="1"/>
  <c r="E12" i="1"/>
  <c r="H26" i="5" l="1"/>
  <c r="K26" i="5" s="1"/>
  <c r="J49" i="5"/>
  <c r="K49" i="5"/>
  <c r="H50" i="5"/>
  <c r="K18" i="1"/>
  <c r="K17" i="1"/>
  <c r="H20" i="1"/>
  <c r="J19" i="1"/>
  <c r="K19" i="1"/>
  <c r="K45" i="1"/>
  <c r="K43" i="1"/>
  <c r="K48" i="1"/>
  <c r="K44" i="1"/>
  <c r="K47" i="1"/>
  <c r="K50" i="1"/>
  <c r="K49" i="1"/>
  <c r="K46" i="1"/>
  <c r="K16" i="1"/>
  <c r="K13" i="1"/>
  <c r="K15" i="1"/>
  <c r="K12" i="1"/>
  <c r="K14" i="1"/>
  <c r="K11" i="1"/>
  <c r="K8" i="1"/>
  <c r="K10" i="1"/>
  <c r="K9" i="1"/>
  <c r="I7" i="1"/>
  <c r="J7" i="1"/>
  <c r="K52" i="1"/>
  <c r="K6" i="1"/>
  <c r="K7" i="1"/>
  <c r="K42" i="1"/>
  <c r="H27" i="5" l="1"/>
  <c r="K27" i="5" s="1"/>
  <c r="J50" i="5"/>
  <c r="K50" i="5"/>
  <c r="H51" i="5"/>
  <c r="H21" i="1"/>
  <c r="J20" i="1"/>
  <c r="K20" i="1"/>
  <c r="H28" i="5" l="1"/>
  <c r="K28" i="5" s="1"/>
  <c r="J51" i="5"/>
  <c r="K51" i="5"/>
  <c r="H22" i="1"/>
  <c r="K21" i="1"/>
  <c r="J21" i="1"/>
  <c r="K51" i="1"/>
  <c r="J51" i="1"/>
  <c r="H29" i="5" l="1"/>
  <c r="K29" i="5" s="1"/>
  <c r="H23" i="1"/>
  <c r="K22" i="1"/>
  <c r="J22" i="1"/>
  <c r="H30" i="5" l="1"/>
  <c r="K30" i="5" s="1"/>
  <c r="H24" i="1"/>
  <c r="K23" i="1"/>
  <c r="J23" i="1"/>
  <c r="H31" i="5" l="1"/>
  <c r="K31" i="5" s="1"/>
  <c r="H25" i="1"/>
  <c r="J24" i="1"/>
  <c r="K24" i="1"/>
  <c r="H32" i="5" l="1"/>
  <c r="K32" i="5" s="1"/>
  <c r="H26" i="1"/>
  <c r="K25" i="1"/>
  <c r="J25" i="1"/>
  <c r="H33" i="5" l="1"/>
  <c r="K33" i="5" s="1"/>
  <c r="H27" i="1"/>
  <c r="K26" i="1"/>
  <c r="J26" i="1"/>
  <c r="H34" i="5" l="1"/>
  <c r="K34" i="5" s="1"/>
  <c r="H28" i="1"/>
  <c r="K27" i="1"/>
  <c r="J27" i="1"/>
  <c r="H35" i="5" l="1"/>
  <c r="K35" i="5" s="1"/>
  <c r="H29" i="1"/>
  <c r="K28" i="1"/>
  <c r="J28" i="1"/>
  <c r="H36" i="5" l="1"/>
  <c r="K36" i="5" s="1"/>
  <c r="H30" i="1"/>
  <c r="K29" i="1"/>
  <c r="J29" i="1"/>
  <c r="H37" i="5" l="1"/>
  <c r="K37" i="5" s="1"/>
  <c r="H31" i="1"/>
  <c r="K30" i="1"/>
  <c r="J30" i="1"/>
  <c r="H38" i="5" l="1"/>
  <c r="K38" i="5" s="1"/>
  <c r="H32" i="1"/>
  <c r="J31" i="1"/>
  <c r="K31" i="1"/>
  <c r="H39" i="5" l="1"/>
  <c r="K39" i="5" s="1"/>
  <c r="H33" i="1"/>
  <c r="J32" i="1"/>
  <c r="K32" i="1"/>
  <c r="H40" i="5" l="1"/>
  <c r="K40" i="5" s="1"/>
  <c r="H34" i="1"/>
  <c r="K33" i="1"/>
  <c r="J33" i="1"/>
  <c r="H41" i="5" l="1"/>
  <c r="K41" i="5" s="1"/>
  <c r="H35" i="1"/>
  <c r="K34" i="1"/>
  <c r="J34" i="1"/>
  <c r="H36" i="1" l="1"/>
  <c r="K35" i="1"/>
  <c r="J35" i="1"/>
  <c r="M18" i="1" s="1"/>
  <c r="H37" i="1" l="1"/>
  <c r="K36" i="1"/>
  <c r="J36" i="1"/>
  <c r="H38" i="1" l="1"/>
  <c r="K37" i="1"/>
  <c r="J37" i="1"/>
  <c r="H39" i="1" l="1"/>
  <c r="J38" i="1"/>
  <c r="K38" i="1"/>
  <c r="H40" i="1" l="1"/>
  <c r="K39" i="1"/>
  <c r="J39" i="1"/>
  <c r="H41" i="1" l="1"/>
  <c r="K40" i="1"/>
  <c r="J40" i="1"/>
  <c r="I41" i="1" l="1"/>
  <c r="I40" i="1" s="1"/>
  <c r="I39" i="1" s="1"/>
  <c r="I38" i="1" s="1"/>
  <c r="I37" i="1" s="1"/>
  <c r="I36" i="1" s="1"/>
  <c r="I35" i="1" s="1"/>
  <c r="I34" i="1" s="1"/>
  <c r="I33" i="1" s="1"/>
  <c r="I32" i="1" s="1"/>
  <c r="I31" i="1" s="1"/>
  <c r="I30" i="1" s="1"/>
  <c r="I29" i="1" s="1"/>
  <c r="I28" i="1" s="1"/>
  <c r="I27" i="1" s="1"/>
  <c r="I26" i="1" s="1"/>
  <c r="I25" i="1" s="1"/>
  <c r="I24" i="1" s="1"/>
  <c r="I23" i="1" s="1"/>
  <c r="I22" i="1" s="1"/>
  <c r="I21" i="1" s="1"/>
  <c r="I20" i="1" s="1"/>
  <c r="I19" i="1" s="1"/>
  <c r="I18" i="1" s="1"/>
  <c r="I17" i="1" s="1"/>
  <c r="J41" i="1"/>
  <c r="M15" i="1" s="1"/>
  <c r="K41" i="1"/>
  <c r="N7" i="1" s="1"/>
  <c r="Q26" i="1" l="1"/>
  <c r="Q25" i="1"/>
  <c r="Q19" i="1" l="1"/>
  <c r="W5" i="1" s="1"/>
  <c r="W7" i="1" s="1"/>
  <c r="W16" i="1" l="1"/>
  <c r="W8" i="1"/>
  <c r="W9" i="1" s="1"/>
  <c r="W17" i="1" l="1"/>
  <c r="W18" i="1" s="1"/>
  <c r="W20" i="1" s="1"/>
  <c r="W23" i="1" s="1"/>
  <c r="M9" i="1" s="1"/>
  <c r="J17" i="5"/>
  <c r="I16" i="5"/>
  <c r="I17" i="5" s="1"/>
  <c r="I18" i="5" s="1"/>
  <c r="I19" i="5" s="1"/>
  <c r="I20" i="5" s="1"/>
  <c r="I21" i="5" s="1"/>
  <c r="I22" i="5" s="1"/>
  <c r="I23" i="5" s="1"/>
  <c r="I24" i="5" s="1"/>
  <c r="I25" i="5" s="1"/>
  <c r="I26" i="5" s="1"/>
  <c r="I27" i="5" s="1"/>
  <c r="I28" i="5" s="1"/>
  <c r="I29" i="5" s="1"/>
  <c r="I30" i="5" s="1"/>
  <c r="I31" i="5" s="1"/>
  <c r="I32" i="5" s="1"/>
  <c r="I33" i="5" s="1"/>
  <c r="I34" i="5" s="1"/>
  <c r="I35" i="5" s="1"/>
  <c r="I36" i="5" s="1"/>
  <c r="I37" i="5" s="1"/>
  <c r="I38" i="5" s="1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J32" i="5"/>
  <c r="J24" i="5"/>
  <c r="J39" i="5"/>
  <c r="J31" i="5"/>
  <c r="J23" i="5"/>
  <c r="J38" i="5"/>
  <c r="J30" i="5"/>
  <c r="J22" i="5"/>
  <c r="J37" i="5"/>
  <c r="J29" i="5"/>
  <c r="M18" i="5" s="1"/>
  <c r="J21" i="5"/>
  <c r="J40" i="5"/>
  <c r="J36" i="5"/>
  <c r="J28" i="5"/>
  <c r="J20" i="5"/>
  <c r="J35" i="5"/>
  <c r="J27" i="5"/>
  <c r="J19" i="5"/>
  <c r="J34" i="5"/>
  <c r="J26" i="5"/>
  <c r="J18" i="5"/>
  <c r="J41" i="5"/>
  <c r="J33" i="5"/>
  <c r="J25" i="5"/>
  <c r="M15" i="5" l="1"/>
  <c r="W19" i="1"/>
  <c r="W21" i="1"/>
  <c r="W22" i="1" s="1"/>
  <c r="Q26" i="5"/>
  <c r="Q25" i="5"/>
  <c r="Q19" i="5" l="1"/>
  <c r="W5" i="5" s="1"/>
  <c r="W7" i="5" l="1"/>
  <c r="W16" i="5"/>
  <c r="W8" i="5"/>
  <c r="W9" i="5" s="1"/>
  <c r="N7" i="5"/>
  <c r="W17" i="5" l="1"/>
  <c r="W18" i="5" s="1"/>
  <c r="W20" i="5" s="1"/>
  <c r="W23" i="5" s="1"/>
  <c r="M9" i="5" s="1"/>
  <c r="W19" i="5" l="1"/>
  <c r="W21" i="5"/>
  <c r="W22" i="5" s="1"/>
</calcChain>
</file>

<file path=xl/sharedStrings.xml><?xml version="1.0" encoding="utf-8"?>
<sst xmlns="http://schemas.openxmlformats.org/spreadsheetml/2006/main" count="189" uniqueCount="110">
  <si>
    <t>Comprimento</t>
  </si>
  <si>
    <t>Cota topo</t>
  </si>
  <si>
    <t>I</t>
  </si>
  <si>
    <t>Alfa I</t>
  </si>
  <si>
    <t>Ecs</t>
  </si>
  <si>
    <t>As min / face</t>
  </si>
  <si>
    <t>Carga adicional</t>
  </si>
  <si>
    <t>PP pilar</t>
  </si>
  <si>
    <t>Peso total</t>
  </si>
  <si>
    <t>Vk</t>
  </si>
  <si>
    <t>Mk</t>
  </si>
  <si>
    <t>Mr</t>
  </si>
  <si>
    <t>Fck,j</t>
  </si>
  <si>
    <t>TRANSPORTE E IÇAMENTO DE PILARES POR 1 PONTO</t>
  </si>
  <si>
    <t>2021-013-MARNA-Muffato Cambé</t>
  </si>
  <si>
    <t>P01</t>
  </si>
  <si>
    <t>As adotado</t>
  </si>
  <si>
    <t>As necessário</t>
  </si>
  <si>
    <t>Granito e Gnaisse</t>
  </si>
  <si>
    <t>Geometria da Seção Transversal</t>
  </si>
  <si>
    <t>Concreto</t>
  </si>
  <si>
    <t>Armadura Longitudinal</t>
  </si>
  <si>
    <r>
      <t>b</t>
    </r>
    <r>
      <rPr>
        <vertAlign val="subscript"/>
        <sz val="10"/>
        <rFont val="Arial"/>
        <family val="2"/>
      </rPr>
      <t>f</t>
    </r>
    <r>
      <rPr>
        <sz val="10"/>
        <rFont val="Arial"/>
        <family val="2"/>
      </rPr>
      <t xml:space="preserve"> (m)</t>
    </r>
  </si>
  <si>
    <r>
      <t>f</t>
    </r>
    <r>
      <rPr>
        <vertAlign val="subscript"/>
        <sz val="10"/>
        <rFont val="Arial"/>
        <family val="2"/>
      </rPr>
      <t xml:space="preserve">ck </t>
    </r>
    <r>
      <rPr>
        <sz val="11"/>
        <color theme="1"/>
        <rFont val="Calibri"/>
        <family val="2"/>
        <scheme val="minor"/>
      </rPr>
      <t>(MPa)</t>
    </r>
  </si>
  <si>
    <r>
      <t>M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(kN.m)</t>
    </r>
  </si>
  <si>
    <r>
      <t>h</t>
    </r>
    <r>
      <rPr>
        <vertAlign val="subscript"/>
        <sz val="10"/>
        <rFont val="Arial"/>
        <family val="2"/>
      </rPr>
      <t>f</t>
    </r>
    <r>
      <rPr>
        <sz val="10"/>
        <rFont val="Arial"/>
        <family val="2"/>
      </rPr>
      <t xml:space="preserve"> (m)</t>
    </r>
  </si>
  <si>
    <t>Grupo</t>
  </si>
  <si>
    <r>
      <t>M</t>
    </r>
    <r>
      <rPr>
        <vertAlign val="subscript"/>
        <sz val="10"/>
        <rFont val="Arial"/>
        <family val="2"/>
      </rPr>
      <t>d</t>
    </r>
    <r>
      <rPr>
        <vertAlign val="superscript"/>
        <sz val="10"/>
        <rFont val="Arial"/>
        <family val="2"/>
      </rPr>
      <t>*</t>
    </r>
    <r>
      <rPr>
        <sz val="10"/>
        <rFont val="Arial"/>
        <family val="2"/>
      </rPr>
      <t xml:space="preserve"> (kN.m) -</t>
    </r>
    <r>
      <rPr>
        <sz val="8"/>
        <rFont val="Arial"/>
        <family val="2"/>
      </rPr>
      <t xml:space="preserve"> MF resist. Mesa</t>
    </r>
  </si>
  <si>
    <t>h (m)</t>
  </si>
  <si>
    <t>l</t>
  </si>
  <si>
    <t>Verificação posição da LN</t>
  </si>
  <si>
    <r>
      <t>b</t>
    </r>
    <r>
      <rPr>
        <vertAlign val="subscript"/>
        <sz val="10"/>
        <rFont val="Arial"/>
        <family val="2"/>
      </rPr>
      <t>w</t>
    </r>
    <r>
      <rPr>
        <sz val="10"/>
        <rFont val="Arial"/>
        <family val="2"/>
      </rPr>
      <t xml:space="preserve"> (m)</t>
    </r>
  </si>
  <si>
    <r>
      <rPr>
        <sz val="10"/>
        <rFont val="Symbol"/>
        <family val="1"/>
        <charset val="2"/>
      </rPr>
      <t>a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</t>
    </r>
  </si>
  <si>
    <r>
      <t>M</t>
    </r>
    <r>
      <rPr>
        <vertAlign val="subscript"/>
        <sz val="10"/>
        <rFont val="Arial"/>
        <family val="2"/>
      </rPr>
      <t>d1</t>
    </r>
    <r>
      <rPr>
        <sz val="10"/>
        <rFont val="Arial"/>
        <family val="2"/>
      </rPr>
      <t xml:space="preserve"> (kN.m)</t>
    </r>
  </si>
  <si>
    <t>d' (m)</t>
  </si>
  <si>
    <r>
      <t>k</t>
    </r>
    <r>
      <rPr>
        <vertAlign val="subscript"/>
        <sz val="10"/>
        <rFont val="Arial"/>
        <family val="2"/>
      </rPr>
      <t>x-limite</t>
    </r>
  </si>
  <si>
    <r>
      <t>M</t>
    </r>
    <r>
      <rPr>
        <vertAlign val="subscript"/>
        <sz val="10"/>
        <rFont val="Arial"/>
        <family val="2"/>
      </rPr>
      <t>d2</t>
    </r>
    <r>
      <rPr>
        <sz val="10"/>
        <rFont val="Arial"/>
        <family val="2"/>
      </rPr>
      <t xml:space="preserve"> (kN.m)</t>
    </r>
  </si>
  <si>
    <t>Armadura Passiva</t>
  </si>
  <si>
    <t>b (m)</t>
  </si>
  <si>
    <t>Aço CA</t>
  </si>
  <si>
    <r>
      <t>k</t>
    </r>
    <r>
      <rPr>
        <vertAlign val="subscript"/>
        <sz val="10"/>
        <rFont val="Arial"/>
        <family val="2"/>
      </rPr>
      <t>Md</t>
    </r>
  </si>
  <si>
    <t>Esforços Atuantes</t>
  </si>
  <si>
    <r>
      <t>k</t>
    </r>
    <r>
      <rPr>
        <vertAlign val="subscript"/>
        <sz val="10"/>
        <rFont val="Arial"/>
        <family val="2"/>
      </rPr>
      <t>x</t>
    </r>
  </si>
  <si>
    <r>
      <t>M</t>
    </r>
    <r>
      <rPr>
        <vertAlign val="subscript"/>
        <sz val="10"/>
        <rFont val="Arial"/>
        <family val="2"/>
      </rPr>
      <t>g1</t>
    </r>
    <r>
      <rPr>
        <sz val="10"/>
        <rFont val="Arial"/>
        <family val="2"/>
      </rPr>
      <t xml:space="preserve"> (kN.m)</t>
    </r>
  </si>
  <si>
    <r>
      <rPr>
        <sz val="11"/>
        <rFont val="Symbol"/>
        <family val="1"/>
        <charset val="2"/>
      </rPr>
      <t>g</t>
    </r>
    <r>
      <rPr>
        <vertAlign val="subscript"/>
        <sz val="11"/>
        <rFont val="Arial"/>
        <family val="2"/>
      </rPr>
      <t>f</t>
    </r>
  </si>
  <si>
    <r>
      <t>Verificação k</t>
    </r>
    <r>
      <rPr>
        <vertAlign val="subscript"/>
        <sz val="10"/>
        <rFont val="Arial"/>
        <family val="2"/>
      </rPr>
      <t>x</t>
    </r>
  </si>
  <si>
    <r>
      <t>M</t>
    </r>
    <r>
      <rPr>
        <vertAlign val="subscript"/>
        <sz val="10"/>
        <rFont val="Arial"/>
        <family val="2"/>
      </rPr>
      <t>g2</t>
    </r>
    <r>
      <rPr>
        <sz val="10"/>
        <rFont val="Arial"/>
        <family val="2"/>
      </rPr>
      <t xml:space="preserve"> (kN.m)</t>
    </r>
  </si>
  <si>
    <r>
      <t>k</t>
    </r>
    <r>
      <rPr>
        <vertAlign val="subscript"/>
        <sz val="10"/>
        <rFont val="Arial"/>
        <family val="2"/>
      </rPr>
      <t>z</t>
    </r>
  </si>
  <si>
    <r>
      <t>M</t>
    </r>
    <r>
      <rPr>
        <vertAlign val="subscript"/>
        <sz val="10"/>
        <rFont val="Arial"/>
        <family val="2"/>
      </rPr>
      <t>g3</t>
    </r>
    <r>
      <rPr>
        <sz val="10"/>
        <rFont val="Arial"/>
        <family val="2"/>
      </rPr>
      <t xml:space="preserve"> (kN.m)</t>
    </r>
  </si>
  <si>
    <r>
      <rPr>
        <sz val="10"/>
        <rFont val="Symbol"/>
        <family val="1"/>
        <charset val="2"/>
      </rPr>
      <t>e</t>
    </r>
    <r>
      <rPr>
        <vertAlign val="subscript"/>
        <sz val="10"/>
        <rFont val="Arial"/>
        <family val="2"/>
      </rPr>
      <t xml:space="preserve">c </t>
    </r>
    <r>
      <rPr>
        <sz val="10"/>
        <rFont val="Arial"/>
        <family val="2"/>
      </rPr>
      <t>(%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)</t>
    </r>
  </si>
  <si>
    <r>
      <t>M</t>
    </r>
    <r>
      <rPr>
        <vertAlign val="subscript"/>
        <sz val="10"/>
        <rFont val="Arial"/>
        <family val="2"/>
      </rPr>
      <t>g4</t>
    </r>
    <r>
      <rPr>
        <sz val="10"/>
        <rFont val="Arial"/>
        <family val="2"/>
      </rPr>
      <t xml:space="preserve"> (kN.m)</t>
    </r>
  </si>
  <si>
    <r>
      <rPr>
        <sz val="10"/>
        <rFont val="Symbol"/>
        <family val="1"/>
        <charset val="2"/>
      </rPr>
      <t>e</t>
    </r>
    <r>
      <rPr>
        <vertAlign val="subscript"/>
        <sz val="10"/>
        <rFont val="Arial"/>
        <family val="2"/>
      </rPr>
      <t xml:space="preserve">s </t>
    </r>
    <r>
      <rPr>
        <sz val="10"/>
        <rFont val="Arial"/>
        <family val="2"/>
      </rPr>
      <t>(%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)</t>
    </r>
  </si>
  <si>
    <r>
      <t>M</t>
    </r>
    <r>
      <rPr>
        <vertAlign val="subscript"/>
        <sz val="10"/>
        <rFont val="Arial"/>
        <family val="2"/>
      </rPr>
      <t>q</t>
    </r>
    <r>
      <rPr>
        <vertAlign val="superscript"/>
        <sz val="10"/>
        <rFont val="Arial"/>
        <family val="2"/>
      </rPr>
      <t>máx</t>
    </r>
    <r>
      <rPr>
        <sz val="10"/>
        <rFont val="Arial"/>
        <family val="2"/>
      </rPr>
      <t xml:space="preserve"> (kN.m)</t>
    </r>
  </si>
  <si>
    <r>
      <t>A</t>
    </r>
    <r>
      <rPr>
        <b/>
        <vertAlign val="subscript"/>
        <sz val="10"/>
        <rFont val="Arial"/>
        <family val="2"/>
      </rPr>
      <t>s</t>
    </r>
    <r>
      <rPr>
        <b/>
        <sz val="10"/>
        <rFont val="Arial"/>
        <family val="2"/>
      </rPr>
      <t xml:space="preserve"> (cm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)</t>
    </r>
  </si>
  <si>
    <t>% içamento</t>
  </si>
  <si>
    <t>Cota sugerida</t>
  </si>
  <si>
    <t>Seção</t>
  </si>
  <si>
    <t>Obra:</t>
  </si>
  <si>
    <t>Redução (E.I.)</t>
  </si>
  <si>
    <t>Deflexão - vão</t>
  </si>
  <si>
    <t xml:space="preserve">Momento fletor </t>
  </si>
  <si>
    <t>Rmáx, içamento</t>
  </si>
  <si>
    <t>RESULTADOS</t>
  </si>
  <si>
    <t>COTA</t>
  </si>
  <si>
    <t>Dy</t>
  </si>
  <si>
    <t>DIAGRAMAS</t>
  </si>
  <si>
    <t>Limite deflexão</t>
  </si>
  <si>
    <t xml:space="preserve">1ª cam </t>
  </si>
  <si>
    <t xml:space="preserve">2ª cam </t>
  </si>
  <si>
    <t xml:space="preserve">taxa </t>
  </si>
  <si>
    <t>CORTANTE, MOMENTO FLETOR E DEFLEXÃO</t>
  </si>
  <si>
    <t>TRANSPORTE E IÇAMENTO DE PILARES POR 2 PONTOS</t>
  </si>
  <si>
    <t>As min</t>
  </si>
  <si>
    <t>as min</t>
  </si>
  <si>
    <t>Mmax</t>
  </si>
  <si>
    <t>Mmin</t>
  </si>
  <si>
    <t>maximo</t>
  </si>
  <si>
    <t>minimo</t>
  </si>
  <si>
    <t>TERMOS DE UTILIZAÇÃO DA PLANILHA</t>
  </si>
  <si>
    <t>1 - UTILIZAÇÃO DA PLANILHA</t>
  </si>
  <si>
    <r>
      <rPr>
        <b/>
        <sz val="10"/>
        <rFont val="Calibri"/>
        <family val="2"/>
        <scheme val="minor"/>
      </rPr>
      <t xml:space="preserve">1.2 </t>
    </r>
    <r>
      <rPr>
        <sz val="10"/>
        <rFont val="Calibri Light"/>
        <family val="2"/>
        <scheme val="major"/>
      </rPr>
      <t>Ao utilizar a planilha, o usuário concorda com os termos de uso descritos neste documento.</t>
    </r>
  </si>
  <si>
    <r>
      <rPr>
        <b/>
        <sz val="10"/>
        <rFont val="Calibri"/>
        <family val="2"/>
        <scheme val="minor"/>
      </rPr>
      <t xml:space="preserve">1.3 </t>
    </r>
    <r>
      <rPr>
        <sz val="10"/>
        <rFont val="Calibri Light"/>
        <family val="2"/>
        <scheme val="major"/>
      </rPr>
      <t>A autorização de uso é exclusiva aos colaboradores da ENGEMÜLLER e não é permitido reproduzir ou compartilhar a planilha.</t>
    </r>
  </si>
  <si>
    <r>
      <rPr>
        <b/>
        <sz val="10"/>
        <rFont val="Calibri"/>
        <family val="2"/>
        <scheme val="minor"/>
      </rPr>
      <t xml:space="preserve">1.4 </t>
    </r>
    <r>
      <rPr>
        <sz val="10"/>
        <rFont val="Calibri Light"/>
        <family val="2"/>
        <scheme val="major"/>
      </rPr>
      <t>Autorização de uso por 12 meses a partir de 30/04/2022, prorrogável por acordo escrito. Utilização para fins de teste e otimização.</t>
    </r>
  </si>
  <si>
    <t>2 - LIBERAÇÃO DE ACESSO À PLANILHA</t>
  </si>
  <si>
    <r>
      <rPr>
        <b/>
        <sz val="10"/>
        <rFont val="Calibri"/>
        <family val="2"/>
        <scheme val="minor"/>
      </rPr>
      <t xml:space="preserve">2.1 </t>
    </r>
    <r>
      <rPr>
        <sz val="10"/>
        <rFont val="Calibri Light"/>
        <family val="2"/>
        <scheme val="major"/>
      </rPr>
      <t>A utilização desta planilha só é possível em computadores e usuários previamente cadastrados e com as macros habilitadas.</t>
    </r>
  </si>
  <si>
    <r>
      <rPr>
        <b/>
        <sz val="10"/>
        <rFont val="Calibri"/>
        <family val="2"/>
        <scheme val="minor"/>
      </rPr>
      <t xml:space="preserve">2.2 </t>
    </r>
    <r>
      <rPr>
        <sz val="10"/>
        <rFont val="Calibri Light"/>
        <family val="2"/>
        <scheme val="major"/>
      </rPr>
      <t>A guia "Início" da planilha não pode ser excluída. A exclusão será considerada uma violação de segurança e resultará na desconfiguração automática da planilha.</t>
    </r>
  </si>
  <si>
    <t>3 - RESULTADOS E ANÁLISE CRÍTICA</t>
  </si>
  <si>
    <r>
      <rPr>
        <b/>
        <sz val="10"/>
        <rFont val="Calibri"/>
        <family val="2"/>
        <scheme val="minor"/>
      </rPr>
      <t xml:space="preserve">3.1 </t>
    </r>
    <r>
      <rPr>
        <sz val="10"/>
        <rFont val="Calibri Light"/>
        <family val="2"/>
        <scheme val="major"/>
      </rPr>
      <t>Os resultados obtidos deverão ser analisados técnicamente por profissional habilitado, que é o responsável por validar as informações apresentadas.</t>
    </r>
  </si>
  <si>
    <r>
      <rPr>
        <b/>
        <sz val="10"/>
        <rFont val="Calibri"/>
        <family val="2"/>
        <scheme val="minor"/>
      </rPr>
      <t xml:space="preserve">3.2 </t>
    </r>
    <r>
      <rPr>
        <sz val="10"/>
        <rFont val="Calibri Light"/>
        <family val="2"/>
        <scheme val="major"/>
      </rPr>
      <t>Esta é uma ferramenta auxiliar para o engenheiro, e não substitui sua responsabilidade na definição, verificação, dimensionamento e detalhamento da estrutura.</t>
    </r>
  </si>
  <si>
    <r>
      <rPr>
        <b/>
        <sz val="10"/>
        <rFont val="Calibri"/>
        <family val="2"/>
        <scheme val="minor"/>
      </rPr>
      <t xml:space="preserve">3.3 </t>
    </r>
    <r>
      <rPr>
        <sz val="10"/>
        <rFont val="Calibri Light"/>
        <family val="2"/>
        <scheme val="major"/>
      </rPr>
      <t>O desenvolvedor não tem qualquer tipo de responsabilidade pela interpretação/uso dos resultados obtidos a partir da utilização da planilha.</t>
    </r>
  </si>
  <si>
    <r>
      <rPr>
        <b/>
        <sz val="10"/>
        <rFont val="Calibri Light"/>
        <family val="2"/>
        <scheme val="major"/>
      </rPr>
      <t>3.4</t>
    </r>
    <r>
      <rPr>
        <sz val="10"/>
        <rFont val="Calibri Light"/>
        <family val="2"/>
        <scheme val="major"/>
      </rPr>
      <t xml:space="preserve"> O usuário é responsável por verificar a validade e a precisão dos resultados obtidos pela planilha antes de aceitá-los e tomar decisões baseadas neles.</t>
    </r>
  </si>
  <si>
    <t>4 - ATUALIZAÇÕES E SUPORTE TÉCNICO</t>
  </si>
  <si>
    <r>
      <rPr>
        <b/>
        <sz val="10"/>
        <rFont val="Calibri"/>
        <family val="2"/>
        <scheme val="minor"/>
      </rPr>
      <t xml:space="preserve">4.1 </t>
    </r>
    <r>
      <rPr>
        <sz val="10"/>
        <rFont val="Calibri Light"/>
        <family val="2"/>
        <scheme val="major"/>
      </rPr>
      <t>O desenvolvedor se reserva o direito de fazer atualizações na planilha a qualquer momento e sem aviso prévio.</t>
    </r>
  </si>
  <si>
    <r>
      <rPr>
        <b/>
        <sz val="10"/>
        <rFont val="Calibri"/>
        <family val="2"/>
        <scheme val="minor"/>
      </rPr>
      <t xml:space="preserve">4.2 </t>
    </r>
    <r>
      <rPr>
        <sz val="10"/>
        <rFont val="Calibri Light"/>
        <family val="2"/>
        <scheme val="major"/>
      </rPr>
      <t>O suporte técnico somente será prestado aos colaboradores da ENGEMÜLLER, durante o prazo de vigência da autorização de uso.</t>
    </r>
  </si>
  <si>
    <r>
      <rPr>
        <b/>
        <sz val="10"/>
        <rFont val="Calibri"/>
        <family val="2"/>
        <scheme val="minor"/>
      </rPr>
      <t xml:space="preserve">4.3 </t>
    </r>
    <r>
      <rPr>
        <sz val="10"/>
        <rFont val="Calibri Light"/>
        <family val="2"/>
        <scheme val="major"/>
      </rPr>
      <t xml:space="preserve">O usuário concorda em informar imediatamente ao autor sobre quaisquer erros ou bugs encontrados na planilha. </t>
    </r>
  </si>
  <si>
    <r>
      <rPr>
        <b/>
        <sz val="10"/>
        <rFont val="Calibri Light"/>
        <family val="2"/>
        <scheme val="major"/>
      </rPr>
      <t>4.4</t>
    </r>
    <r>
      <rPr>
        <sz val="10"/>
        <rFont val="Calibri Light"/>
        <family val="2"/>
        <scheme val="major"/>
      </rPr>
      <t xml:space="preserve"> O usuário concorda em fornecer informações detalhadas sobre o erro ou bug, incluindo as etapas para reproduzir o problema.</t>
    </r>
  </si>
  <si>
    <t>5 - RESPONSABILIDADE POR DANOS</t>
  </si>
  <si>
    <r>
      <rPr>
        <b/>
        <sz val="10"/>
        <rFont val="Calibri"/>
        <family val="2"/>
        <scheme val="minor"/>
      </rPr>
      <t xml:space="preserve">5.1 </t>
    </r>
    <r>
      <rPr>
        <sz val="10"/>
        <rFont val="Calibri Light"/>
        <family val="2"/>
        <scheme val="major"/>
      </rPr>
      <t>O desenvolvedor da planilha não será responsável por quaisquer danos diretos, indiretos, acidentais, especiais, conseqüentes ou exemplares, incluindo, mas não se limitando</t>
    </r>
  </si>
  <si>
    <t>a lucros cessantes, perdas financeiras, perdas de negócios ou perdas de dados, resultantes do uso ou da incapacidade de uso da planilha, ou por quaisquer erros ou omissões nas</t>
  </si>
  <si>
    <t>informações fornecidas na planilha.</t>
  </si>
  <si>
    <t>6 - RESTRIÇÕES DE COMPARTILHAMENTO E DIREITOS AUTORAIS</t>
  </si>
  <si>
    <r>
      <rPr>
        <b/>
        <sz val="10"/>
        <rFont val="Calibri"/>
        <family val="2"/>
        <scheme val="minor"/>
      </rPr>
      <t xml:space="preserve">6.1 </t>
    </r>
    <r>
      <rPr>
        <sz val="10"/>
        <rFont val="Calibri Light"/>
        <family val="2"/>
        <scheme val="major"/>
      </rPr>
      <t>Os direitos autorais desta planilha são de propriedade exclusiva do seu desenvolvedor, Engenheiro Civil Guilherme Luiz Nardelli, com registro CREA/SC número 147847-2.</t>
    </r>
  </si>
  <si>
    <r>
      <rPr>
        <b/>
        <sz val="10"/>
        <rFont val="Calibri"/>
        <family val="2"/>
        <scheme val="minor"/>
      </rPr>
      <t xml:space="preserve">6.2 </t>
    </r>
    <r>
      <rPr>
        <sz val="10"/>
        <rFont val="Calibri Light"/>
        <family val="2"/>
        <scheme val="major"/>
      </rPr>
      <t>O uso não autorizado da planilha, constitui uma violação dos direitos autorais do desenvolvedor e pode resultar em ações judiciais.</t>
    </r>
  </si>
  <si>
    <r>
      <rPr>
        <b/>
        <sz val="10"/>
        <rFont val="Calibri"/>
        <family val="2"/>
        <scheme val="minor"/>
      </rPr>
      <t>6.3</t>
    </r>
    <r>
      <rPr>
        <sz val="10"/>
        <rFont val="Calibri Light"/>
        <family val="2"/>
        <scheme val="major"/>
      </rPr>
      <t xml:space="preserve"> É proibido reproduzir, comercializar, emprestar, alugar ou doar total ou parcialmente esta planilha, assim como alterá-la ou modificá-la através de qualquer meio possível.</t>
    </r>
  </si>
  <si>
    <r>
      <rPr>
        <b/>
        <sz val="10"/>
        <rFont val="Calibri"/>
        <family val="2"/>
        <scheme val="minor"/>
      </rPr>
      <t xml:space="preserve">6.4 </t>
    </r>
    <r>
      <rPr>
        <sz val="10"/>
        <rFont val="Calibri Light"/>
        <family val="2"/>
        <scheme val="major"/>
      </rPr>
      <t xml:space="preserve">A propriedade intelectual da planilha, incluindo, mas não se limitando a seu código fonte, design, gráficos, imagens e textos, é de propriedade exclusiva do desenvolvedor e </t>
    </r>
  </si>
  <si>
    <t>seu código fonte, está protegida por leis de direitos autorais e marcas comerciais.</t>
  </si>
  <si>
    <r>
      <rPr>
        <b/>
        <sz val="10"/>
        <rFont val="Calibri"/>
        <family val="2"/>
        <scheme val="minor"/>
      </rPr>
      <t xml:space="preserve">6.5 </t>
    </r>
    <r>
      <rPr>
        <sz val="10"/>
        <rFont val="Calibri Light"/>
        <family val="2"/>
        <scheme val="major"/>
      </rPr>
      <t>O usuário concorda em indenizar e isentar o autor de qualquer reivindicação, danos e despesas, incluindo honorários advocatícios, decorrentes do uso não autorizado.</t>
    </r>
  </si>
  <si>
    <t>PLANILHA PARA A VERIFICAÇÃO DE TRANSPORTE E IÇAMENTO DE PILARES PRÉ-MOLDADOS</t>
  </si>
  <si>
    <r>
      <rPr>
        <b/>
        <sz val="10"/>
        <rFont val="Calibri"/>
        <family val="2"/>
        <scheme val="minor"/>
      </rPr>
      <t xml:space="preserve">1.1 </t>
    </r>
    <r>
      <rPr>
        <sz val="10"/>
        <rFont val="Calibri Light"/>
        <family val="2"/>
        <scheme val="major"/>
      </rPr>
      <t xml:space="preserve">O presente documento autoriza a utilização da planilha "PRÉ-TRANSPORTE E IÇAMENTO.xlsm" pelos colaboradores da ENGEMÜLLER, na sua versão mais recente. </t>
    </r>
  </si>
  <si>
    <t>Relação (+)/(-)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</si>
</sst>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0\ &quot;Mpa&quot;"/>
    <numFmt numFmtId="165" formatCode="0\ &quot;cm^4&quot;"/>
    <numFmt numFmtId="166" formatCode="&quot;Ø&quot;\ 0\ &quot;mm&quot;"/>
    <numFmt numFmtId="167" formatCode="0\ &quot;x&quot;"/>
    <numFmt numFmtId="168" formatCode="0\ &quot;cm&quot;"/>
    <numFmt numFmtId="169" formatCode="0.00\ &quot;tf.m&quot;"/>
    <numFmt numFmtId="170" formatCode="0.00\ &quot;cm²&quot;"/>
    <numFmt numFmtId="171" formatCode="0.00\ &quot;tf&quot;"/>
    <numFmt numFmtId="172" formatCode="0.00\ &quot;kg/m&quot;"/>
    <numFmt numFmtId="173" formatCode="0\ &quot;kg/m&quot;"/>
    <numFmt numFmtId="174" formatCode="0.0"/>
    <numFmt numFmtId="175" formatCode="0.0000"/>
    <numFmt numFmtId="176" formatCode="0.000"/>
    <numFmt numFmtId="177" formatCode="&quot;L / &quot;\ 0"/>
    <numFmt numFmtId="178" formatCode="0\ &quot;kg/m³&quot;"/>
    <numFmt numFmtId="179" formatCode="0.00\ &quot;%&quot;"/>
    <numFmt numFmtId="180" formatCode="0.0\ &quot;x Mr&quot;"/>
    <numFmt numFmtId="181" formatCode="0.0\ &quot;tf&quot;"/>
    <numFmt numFmtId="182" formatCode="0\ &quot;%&quot;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sz val="8"/>
      <name val="Arial"/>
      <family val="2"/>
    </font>
    <font>
      <sz val="10"/>
      <name val="Symbol"/>
      <family val="1"/>
      <charset val="2"/>
    </font>
    <font>
      <sz val="11"/>
      <name val="Arial"/>
      <family val="2"/>
    </font>
    <font>
      <sz val="11"/>
      <name val="Symbol"/>
      <family val="1"/>
      <charset val="2"/>
    </font>
    <font>
      <vertAlign val="subscript"/>
      <sz val="11"/>
      <name val="Arial"/>
      <family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b/>
      <sz val="11"/>
      <color rgb="FFFF0000"/>
      <name val="Calibri"/>
      <family val="2"/>
      <scheme val="minor"/>
    </font>
    <font>
      <b/>
      <sz val="18"/>
      <color theme="1"/>
      <name val="Century Gothic"/>
      <family val="2"/>
    </font>
    <font>
      <i/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 Light"/>
      <family val="2"/>
      <scheme val="maj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entury Gothic"/>
      <family val="2"/>
    </font>
    <font>
      <b/>
      <sz val="10"/>
      <name val="Calibri Light"/>
      <family val="2"/>
      <scheme val="major"/>
    </font>
    <font>
      <sz val="10"/>
      <color theme="1"/>
      <name val="Calibri"/>
      <family val="2"/>
      <scheme val="minor"/>
    </font>
    <font>
      <sz val="11"/>
      <color theme="1"/>
      <name val="Calibri Light"/>
      <family val="2"/>
      <scheme val="major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17" fillId="5" borderId="0" applyNumberFormat="0" applyBorder="0" applyAlignment="0" applyProtection="0"/>
  </cellStyleXfs>
  <cellXfs count="95">
    <xf numFmtId="0" fontId="0" fillId="0" borderId="0" xfId="0"/>
    <xf numFmtId="0" fontId="0" fillId="0" borderId="0" xfId="0" applyAlignment="1">
      <alignment horizontal="center" vertical="center"/>
    </xf>
    <xf numFmtId="0" fontId="4" fillId="0" borderId="0" xfId="0" applyFont="1"/>
    <xf numFmtId="2" fontId="0" fillId="2" borderId="0" xfId="0" applyNumberForma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174" fontId="4" fillId="2" borderId="0" xfId="0" applyNumberFormat="1" applyFont="1" applyFill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174" fontId="0" fillId="0" borderId="1" xfId="0" applyNumberFormat="1" applyBorder="1" applyAlignment="1">
      <alignment horizontal="center" vertical="center"/>
    </xf>
    <xf numFmtId="2" fontId="0" fillId="3" borderId="2" xfId="0" applyNumberForma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right" vertical="center"/>
    </xf>
    <xf numFmtId="177" fontId="0" fillId="4" borderId="2" xfId="0" applyNumberForma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2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70" fontId="0" fillId="4" borderId="2" xfId="0" applyNumberFormat="1" applyFill="1" applyBorder="1" applyAlignment="1">
      <alignment horizontal="center" vertical="center"/>
    </xf>
    <xf numFmtId="170" fontId="0" fillId="4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16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left" vertical="center"/>
    </xf>
    <xf numFmtId="174" fontId="0" fillId="2" borderId="0" xfId="0" applyNumberFormat="1" applyFill="1" applyAlignment="1">
      <alignment horizontal="center" vertical="center"/>
    </xf>
    <xf numFmtId="175" fontId="0" fillId="0" borderId="1" xfId="0" applyNumberFormat="1" applyBorder="1" applyAlignment="1">
      <alignment horizontal="center" vertical="center"/>
    </xf>
    <xf numFmtId="175" fontId="4" fillId="0" borderId="1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2" fontId="3" fillId="0" borderId="1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5" fillId="0" borderId="0" xfId="0" applyFont="1" applyAlignment="1">
      <alignment vertical="center"/>
    </xf>
    <xf numFmtId="0" fontId="0" fillId="0" borderId="0" xfId="0" applyAlignment="1">
      <alignment horizontal="left"/>
    </xf>
    <xf numFmtId="168" fontId="1" fillId="6" borderId="2" xfId="0" applyNumberFormat="1" applyFont="1" applyFill="1" applyBorder="1" applyAlignment="1" applyProtection="1">
      <alignment horizontal="center" vertical="center"/>
      <protection locked="0"/>
    </xf>
    <xf numFmtId="172" fontId="1" fillId="6" borderId="2" xfId="0" applyNumberFormat="1" applyFont="1" applyFill="1" applyBorder="1" applyAlignment="1" applyProtection="1">
      <alignment horizontal="center" vertical="center"/>
      <protection locked="0"/>
    </xf>
    <xf numFmtId="164" fontId="1" fillId="6" borderId="2" xfId="0" applyNumberFormat="1" applyFont="1" applyFill="1" applyBorder="1" applyAlignment="1" applyProtection="1">
      <alignment horizontal="center" vertical="center"/>
      <protection locked="0"/>
    </xf>
    <xf numFmtId="0" fontId="1" fillId="6" borderId="4" xfId="0" applyFont="1" applyFill="1" applyBorder="1" applyAlignment="1" applyProtection="1">
      <alignment horizontal="center" vertical="center"/>
      <protection locked="0"/>
    </xf>
    <xf numFmtId="177" fontId="1" fillId="6" borderId="2" xfId="0" applyNumberFormat="1" applyFont="1" applyFill="1" applyBorder="1" applyAlignment="1" applyProtection="1">
      <alignment horizontal="center" vertical="center"/>
      <protection locked="0"/>
    </xf>
    <xf numFmtId="2" fontId="1" fillId="6" borderId="2" xfId="0" applyNumberFormat="1" applyFont="1" applyFill="1" applyBorder="1" applyAlignment="1" applyProtection="1">
      <alignment horizontal="center" vertical="center"/>
      <protection locked="0"/>
    </xf>
    <xf numFmtId="179" fontId="1" fillId="6" borderId="2" xfId="0" applyNumberFormat="1" applyFont="1" applyFill="1" applyBorder="1" applyAlignment="1" applyProtection="1">
      <alignment horizontal="center" vertical="center"/>
      <protection locked="0"/>
    </xf>
    <xf numFmtId="167" fontId="1" fillId="6" borderId="2" xfId="0" applyNumberFormat="1" applyFont="1" applyFill="1" applyBorder="1" applyAlignment="1" applyProtection="1">
      <alignment horizontal="center" vertical="center"/>
      <protection locked="0"/>
    </xf>
    <xf numFmtId="166" fontId="1" fillId="6" borderId="2" xfId="0" applyNumberFormat="1" applyFont="1" applyFill="1" applyBorder="1" applyAlignment="1" applyProtection="1">
      <alignment horizontal="center" vertical="center"/>
      <protection locked="0"/>
    </xf>
    <xf numFmtId="1" fontId="1" fillId="8" borderId="2" xfId="0" applyNumberFormat="1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170" fontId="0" fillId="3" borderId="2" xfId="0" applyNumberFormat="1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center" vertical="center"/>
    </xf>
    <xf numFmtId="165" fontId="0" fillId="3" borderId="2" xfId="0" applyNumberFormat="1" applyFill="1" applyBorder="1" applyAlignment="1">
      <alignment horizontal="center" vertical="center"/>
    </xf>
    <xf numFmtId="169" fontId="0" fillId="3" borderId="2" xfId="0" applyNumberFormat="1" applyFill="1" applyBorder="1" applyAlignment="1">
      <alignment horizontal="center" vertical="center"/>
    </xf>
    <xf numFmtId="173" fontId="0" fillId="3" borderId="2" xfId="0" applyNumberFormat="1" applyFill="1" applyBorder="1" applyAlignment="1">
      <alignment horizontal="center" vertical="center"/>
    </xf>
    <xf numFmtId="171" fontId="0" fillId="3" borderId="2" xfId="0" applyNumberFormat="1" applyFill="1" applyBorder="1" applyAlignment="1">
      <alignment horizontal="center" vertical="center"/>
    </xf>
    <xf numFmtId="168" fontId="0" fillId="3" borderId="2" xfId="0" applyNumberFormat="1" applyFill="1" applyBorder="1" applyAlignment="1">
      <alignment horizontal="center" vertical="center"/>
    </xf>
    <xf numFmtId="180" fontId="18" fillId="7" borderId="2" xfId="2" applyNumberFormat="1" applyFont="1" applyFill="1" applyBorder="1" applyAlignment="1" applyProtection="1">
      <alignment horizontal="center" vertical="center"/>
    </xf>
    <xf numFmtId="181" fontId="0" fillId="7" borderId="2" xfId="0" applyNumberFormat="1" applyFill="1" applyBorder="1" applyAlignment="1">
      <alignment horizontal="center" vertical="center"/>
    </xf>
    <xf numFmtId="182" fontId="1" fillId="6" borderId="2" xfId="1" applyNumberFormat="1" applyFont="1" applyFill="1" applyBorder="1" applyAlignment="1" applyProtection="1">
      <alignment horizontal="center" vertical="center"/>
      <protection locked="0"/>
    </xf>
    <xf numFmtId="0" fontId="1" fillId="8" borderId="2" xfId="0" applyFont="1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6" xfId="0" applyBorder="1"/>
    <xf numFmtId="0" fontId="0" fillId="0" borderId="6" xfId="0" applyBorder="1" applyAlignment="1">
      <alignment horizontal="left"/>
    </xf>
    <xf numFmtId="0" fontId="19" fillId="0" borderId="0" xfId="0" applyFont="1"/>
    <xf numFmtId="0" fontId="22" fillId="0" borderId="5" xfId="0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3" fillId="0" borderId="5" xfId="0" applyFont="1" applyBorder="1" applyAlignment="1">
      <alignment horizontal="left" vertical="center"/>
    </xf>
    <xf numFmtId="0" fontId="18" fillId="0" borderId="0" xfId="0" applyFont="1"/>
    <xf numFmtId="0" fontId="25" fillId="0" borderId="0" xfId="0" applyFont="1"/>
    <xf numFmtId="0" fontId="26" fillId="0" borderId="6" xfId="0" applyFont="1" applyBorder="1" applyAlignment="1">
      <alignment vertical="center"/>
    </xf>
    <xf numFmtId="0" fontId="25" fillId="0" borderId="6" xfId="0" applyFont="1" applyBorder="1"/>
    <xf numFmtId="0" fontId="25" fillId="0" borderId="0" xfId="0" applyFont="1" applyAlignment="1">
      <alignment horizontal="left"/>
    </xf>
    <xf numFmtId="0" fontId="18" fillId="0" borderId="6" xfId="0" applyFont="1" applyBorder="1"/>
    <xf numFmtId="0" fontId="22" fillId="0" borderId="0" xfId="0" applyFont="1" applyAlignment="1">
      <alignment horizontal="left"/>
    </xf>
    <xf numFmtId="0" fontId="22" fillId="0" borderId="6" xfId="0" applyFont="1" applyBorder="1" applyAlignment="1">
      <alignment horizontal="left"/>
    </xf>
    <xf numFmtId="0" fontId="18" fillId="0" borderId="0" xfId="0" applyFont="1" applyAlignment="1">
      <alignment horizontal="left" vertical="center"/>
    </xf>
    <xf numFmtId="0" fontId="18" fillId="0" borderId="6" xfId="0" applyFont="1" applyBorder="1" applyAlignment="1">
      <alignment horizontal="left" vertical="center"/>
    </xf>
    <xf numFmtId="0" fontId="28" fillId="0" borderId="0" xfId="0" applyFont="1"/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29" fillId="0" borderId="0" xfId="0" applyFont="1"/>
    <xf numFmtId="0" fontId="23" fillId="0" borderId="12" xfId="0" applyFont="1" applyBorder="1" applyAlignment="1">
      <alignment horizontal="left" vertical="center"/>
    </xf>
    <xf numFmtId="0" fontId="29" fillId="0" borderId="13" xfId="0" applyFont="1" applyBorder="1"/>
    <xf numFmtId="0" fontId="0" fillId="0" borderId="13" xfId="0" applyBorder="1"/>
    <xf numFmtId="0" fontId="0" fillId="0" borderId="14" xfId="0" applyBorder="1"/>
    <xf numFmtId="2" fontId="0" fillId="7" borderId="2" xfId="0" applyNumberFormat="1" applyFill="1" applyBorder="1" applyAlignment="1">
      <alignment horizontal="center" vertical="center"/>
    </xf>
    <xf numFmtId="0" fontId="20" fillId="8" borderId="7" xfId="0" applyFont="1" applyFill="1" applyBorder="1" applyAlignment="1">
      <alignment horizontal="center" vertical="center"/>
    </xf>
    <xf numFmtId="0" fontId="20" fillId="8" borderId="8" xfId="0" applyFont="1" applyFill="1" applyBorder="1" applyAlignment="1">
      <alignment horizontal="center" vertical="center"/>
    </xf>
    <xf numFmtId="0" fontId="20" fillId="8" borderId="3" xfId="0" applyFont="1" applyFill="1" applyBorder="1" applyAlignment="1">
      <alignment horizontal="center" vertical="center"/>
    </xf>
    <xf numFmtId="0" fontId="21" fillId="0" borderId="9" xfId="0" applyFont="1" applyBorder="1" applyAlignment="1">
      <alignment horizontal="center"/>
    </xf>
    <xf numFmtId="0" fontId="21" fillId="0" borderId="10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22" fillId="0" borderId="5" xfId="0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1" fillId="8" borderId="2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178" fontId="0" fillId="3" borderId="2" xfId="0" applyNumberFormat="1" applyFill="1" applyBorder="1" applyAlignment="1">
      <alignment horizontal="center" vertical="center"/>
    </xf>
  </cellXfs>
  <cellStyles count="3">
    <cellStyle name="Neutro" xfId="2" builtinId="28"/>
    <cellStyle name="Normal" xfId="0" builtinId="0"/>
    <cellStyle name="Porcentagem" xfId="1" builtinId="5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5D9F1"/>
      <color rgb="FFFF7C80"/>
      <color rgb="FFF2F2F2"/>
      <color rgb="FFCFCEB1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800" b="1" i="0" u="none" strike="noStrike" kern="1200" spc="0" baseline="0">
                <a:solidFill>
                  <a:srgbClr val="003366"/>
                </a:solidFill>
                <a:latin typeface="Calibri"/>
                <a:ea typeface="Calibri"/>
                <a:cs typeface="Calibri"/>
              </a:defRPr>
            </a:pPr>
            <a:r>
              <a:rPr lang="pt-BR" sz="1800" b="1" i="0" u="none" strike="noStrike" kern="1200" baseline="0">
                <a:solidFill>
                  <a:srgbClr val="003366"/>
                </a:solidFill>
                <a:latin typeface="Calibri"/>
                <a:ea typeface="Calibri"/>
                <a:cs typeface="Calibri"/>
              </a:rPr>
              <a:t>Momento de içamento (tf.m) - 1 ponto</a:t>
            </a:r>
          </a:p>
        </c:rich>
      </c:tx>
      <c:layout>
        <c:manualLayout>
          <c:xMode val="edge"/>
          <c:yMode val="edge"/>
          <c:x val="7.524766832214461E-3"/>
          <c:y val="2.00887899170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800" b="1" i="0" u="none" strike="noStrike" kern="1200" spc="0" baseline="0">
              <a:solidFill>
                <a:srgbClr val="003366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 ponto'!$J$6:$J$52</c:f>
              <c:strCache>
                <c:ptCount val="47"/>
                <c:pt idx="0">
                  <c:v>0,00</c:v>
                </c:pt>
                <c:pt idx="1">
                  <c:v>-0,02</c:v>
                </c:pt>
                <c:pt idx="2">
                  <c:v>-0,09</c:v>
                </c:pt>
                <c:pt idx="3">
                  <c:v>-0,20</c:v>
                </c:pt>
                <c:pt idx="4">
                  <c:v>-0,35</c:v>
                </c:pt>
                <c:pt idx="5">
                  <c:v>-0,55</c:v>
                </c:pt>
                <c:pt idx="6">
                  <c:v>-0,80</c:v>
                </c:pt>
                <c:pt idx="7">
                  <c:v>-1,09</c:v>
                </c:pt>
                <c:pt idx="8">
                  <c:v>-1,42</c:v>
                </c:pt>
                <c:pt idx="9">
                  <c:v>-1,79</c:v>
                </c:pt>
                <c:pt idx="10">
                  <c:v>-2,21</c:v>
                </c:pt>
                <c:pt idx="11">
                  <c:v>-2,19</c:v>
                </c:pt>
                <c:pt idx="12">
                  <c:v>-2,17</c:v>
                </c:pt>
                <c:pt idx="13">
                  <c:v>-2,15</c:v>
                </c:pt>
                <c:pt idx="14">
                  <c:v>-2,13</c:v>
                </c:pt>
                <c:pt idx="15">
                  <c:v>-2,11</c:v>
                </c:pt>
                <c:pt idx="16">
                  <c:v>-2,09</c:v>
                </c:pt>
                <c:pt idx="17">
                  <c:v>-2,07</c:v>
                </c:pt>
                <c:pt idx="18">
                  <c:v>-2,05</c:v>
                </c:pt>
                <c:pt idx="19">
                  <c:v>-2,03</c:v>
                </c:pt>
                <c:pt idx="20">
                  <c:v>-2,01</c:v>
                </c:pt>
                <c:pt idx="21">
                  <c:v>-1,99</c:v>
                </c:pt>
                <c:pt idx="22">
                  <c:v>-1,97</c:v>
                </c:pt>
                <c:pt idx="23">
                  <c:v>-1,95</c:v>
                </c:pt>
                <c:pt idx="24">
                  <c:v>-1,93</c:v>
                </c:pt>
                <c:pt idx="25">
                  <c:v>-1,91</c:v>
                </c:pt>
                <c:pt idx="26">
                  <c:v>-1,89</c:v>
                </c:pt>
                <c:pt idx="27">
                  <c:v>-1,87</c:v>
                </c:pt>
                <c:pt idx="28">
                  <c:v>-1,85</c:v>
                </c:pt>
                <c:pt idx="29">
                  <c:v>-1,83</c:v>
                </c:pt>
                <c:pt idx="30">
                  <c:v>-1,82</c:v>
                </c:pt>
                <c:pt idx="31">
                  <c:v>-1,80</c:v>
                </c:pt>
                <c:pt idx="32">
                  <c:v>-1,78</c:v>
                </c:pt>
                <c:pt idx="33">
                  <c:v>-1,76</c:v>
                </c:pt>
                <c:pt idx="34">
                  <c:v>-1,74</c:v>
                </c:pt>
                <c:pt idx="35">
                  <c:v>-1,72</c:v>
                </c:pt>
                <c:pt idx="36">
                  <c:v>-1,70</c:v>
                </c:pt>
                <c:pt idx="37">
                  <c:v>-1,33</c:v>
                </c:pt>
                <c:pt idx="38">
                  <c:v>-1,01</c:v>
                </c:pt>
                <c:pt idx="39">
                  <c:v>-0,73</c:v>
                </c:pt>
                <c:pt idx="40">
                  <c:v>-0,49</c:v>
                </c:pt>
                <c:pt idx="41">
                  <c:v>-0,30</c:v>
                </c:pt>
                <c:pt idx="42">
                  <c:v>-0,15</c:v>
                </c:pt>
                <c:pt idx="43">
                  <c:v>-0,05</c:v>
                </c:pt>
                <c:pt idx="44">
                  <c:v>0,01</c:v>
                </c:pt>
                <c:pt idx="45">
                  <c:v>0,03</c:v>
                </c:pt>
                <c:pt idx="46">
                  <c:v>0,00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5890196387917175E-2"/>
                  <c:y val="9.04130809930346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EAD-4724-A8DE-71F8FC80807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EAD-4724-A8DE-71F8FC808077}"/>
                </c:ext>
              </c:extLst>
            </c:dLbl>
            <c:dLbl>
              <c:idx val="2"/>
              <c:layout>
                <c:manualLayout>
                  <c:x val="-2.5851065670388463E-2"/>
                  <c:y val="-0.1205507746573795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EAD-4724-A8DE-71F8FC80807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AD-4724-A8DE-71F8FC808077}"/>
                </c:ext>
              </c:extLst>
            </c:dLbl>
            <c:dLbl>
              <c:idx val="4"/>
              <c:layout>
                <c:manualLayout>
                  <c:x val="-2.5851065670388463E-2"/>
                  <c:y val="-0.1205507746573795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EAD-4724-A8DE-71F8FC808077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EAD-4724-A8DE-71F8FC808077}"/>
                </c:ext>
              </c:extLst>
            </c:dLbl>
            <c:dLbl>
              <c:idx val="6"/>
              <c:layout>
                <c:manualLayout>
                  <c:x val="-2.5851065670388463E-2"/>
                  <c:y val="-0.126578313390248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EAD-4724-A8DE-71F8FC808077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EAD-4724-A8DE-71F8FC808077}"/>
                </c:ext>
              </c:extLst>
            </c:dLbl>
            <c:dLbl>
              <c:idx val="8"/>
              <c:layout>
                <c:manualLayout>
                  <c:x val="-2.5851065670388543E-2"/>
                  <c:y val="-0.1145232359245105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EAD-4724-A8DE-71F8FC808077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EAD-4724-A8DE-71F8FC808077}"/>
                </c:ext>
              </c:extLst>
            </c:dLbl>
            <c:dLbl>
              <c:idx val="10"/>
              <c:layout>
                <c:manualLayout>
                  <c:x val="-2.5851065670388543E-2"/>
                  <c:y val="-0.1145232359245105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EAD-4724-A8DE-71F8FC80807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EAD-4724-A8DE-71F8FC808077}"/>
                </c:ext>
              </c:extLst>
            </c:dLbl>
            <c:dLbl>
              <c:idx val="12"/>
              <c:layout>
                <c:manualLayout>
                  <c:x val="-2.586794880783206E-2"/>
                  <c:y val="-9.04130809930346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EAD-4724-A8DE-71F8FC808077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EAD-4724-A8DE-71F8FC808077}"/>
                </c:ext>
              </c:extLst>
            </c:dLbl>
            <c:dLbl>
              <c:idx val="14"/>
              <c:layout>
                <c:manualLayout>
                  <c:x val="-2.58679488078319E-2"/>
                  <c:y val="-9.64406197259036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EAD-4724-A8DE-71F8FC808077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EAD-4724-A8DE-71F8FC808077}"/>
                </c:ext>
              </c:extLst>
            </c:dLbl>
            <c:dLbl>
              <c:idx val="16"/>
              <c:layout>
                <c:manualLayout>
                  <c:x val="-2.58679488078319E-2"/>
                  <c:y val="-8.4385542260165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EAD-4724-A8DE-71F8FC808077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EAD-4724-A8DE-71F8FC808077}"/>
                </c:ext>
              </c:extLst>
            </c:dLbl>
            <c:dLbl>
              <c:idx val="18"/>
              <c:layout>
                <c:manualLayout>
                  <c:x val="-2.58679488078319E-2"/>
                  <c:y val="-0.102468158458772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EAD-4724-A8DE-71F8FC808077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EAD-4724-A8DE-71F8FC808077}"/>
                </c:ext>
              </c:extLst>
            </c:dLbl>
            <c:dLbl>
              <c:idx val="20"/>
              <c:layout>
                <c:manualLayout>
                  <c:x val="-2.58679488078319E-2"/>
                  <c:y val="-9.64406197259035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EAD-4724-A8DE-71F8FC80807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0EAD-4724-A8DE-71F8FC808077}"/>
                </c:ext>
              </c:extLst>
            </c:dLbl>
            <c:dLbl>
              <c:idx val="22"/>
              <c:layout>
                <c:manualLayout>
                  <c:x val="-2.58679488078319E-2"/>
                  <c:y val="0.102468158458772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EAD-4724-A8DE-71F8FC80807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EAD-4724-A8DE-71F8FC808077}"/>
                </c:ext>
              </c:extLst>
            </c:dLbl>
            <c:dLbl>
              <c:idx val="24"/>
              <c:layout>
                <c:manualLayout>
                  <c:x val="-2.58679488078319E-2"/>
                  <c:y val="9.04130809930346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0EAD-4724-A8DE-71F8FC808077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0EAD-4724-A8DE-71F8FC808077}"/>
                </c:ext>
              </c:extLst>
            </c:dLbl>
            <c:dLbl>
              <c:idx val="26"/>
              <c:layout>
                <c:manualLayout>
                  <c:x val="-2.58679488078319E-2"/>
                  <c:y val="8.4385542260165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EAD-4724-A8DE-71F8FC808077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0EAD-4724-A8DE-71F8FC808077}"/>
                </c:ext>
              </c:extLst>
            </c:dLbl>
            <c:dLbl>
              <c:idx val="28"/>
              <c:layout>
                <c:manualLayout>
                  <c:x val="-2.58679488078319E-2"/>
                  <c:y val="7.83580035272966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0EAD-4724-A8DE-71F8FC808077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0EAD-4724-A8DE-71F8FC808077}"/>
                </c:ext>
              </c:extLst>
            </c:dLbl>
            <c:dLbl>
              <c:idx val="30"/>
              <c:layout>
                <c:manualLayout>
                  <c:x val="-2.58679488078319E-2"/>
                  <c:y val="9.04130809930346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0EAD-4724-A8DE-71F8FC808077}"/>
                </c:ext>
              </c:extLst>
            </c:dLbl>
            <c:dLbl>
              <c:idx val="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0EAD-4724-A8DE-71F8FC808077}"/>
                </c:ext>
              </c:extLst>
            </c:dLbl>
            <c:dLbl>
              <c:idx val="32"/>
              <c:layout>
                <c:manualLayout>
                  <c:x val="-2.58679488078319E-2"/>
                  <c:y val="7.83580035272965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0EAD-4724-A8DE-71F8FC808077}"/>
                </c:ext>
              </c:extLst>
            </c:dLbl>
            <c:dLbl>
              <c:idx val="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0EAD-4724-A8DE-71F8FC808077}"/>
                </c:ext>
              </c:extLst>
            </c:dLbl>
            <c:dLbl>
              <c:idx val="34"/>
              <c:layout>
                <c:manualLayout>
                  <c:x val="-2.58679488078319E-2"/>
                  <c:y val="7.23304647944277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0EAD-4724-A8DE-71F8FC808077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0EAD-4724-A8DE-71F8FC808077}"/>
                </c:ext>
              </c:extLst>
            </c:dLbl>
            <c:dLbl>
              <c:idx val="36"/>
              <c:layout>
                <c:manualLayout>
                  <c:x val="-2.58679488078319E-2"/>
                  <c:y val="8.4385542260165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0EAD-4724-A8DE-71F8FC808077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0EAD-4724-A8DE-71F8FC808077}"/>
                </c:ext>
              </c:extLst>
            </c:dLbl>
            <c:dLbl>
              <c:idx val="38"/>
              <c:layout>
                <c:manualLayout>
                  <c:x val="-2.58679488078319E-2"/>
                  <c:y val="7.83580035272966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0EAD-4724-A8DE-71F8FC808077}"/>
                </c:ext>
              </c:extLst>
            </c:dLbl>
            <c:dLbl>
              <c:idx val="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0EAD-4724-A8DE-71F8FC808077}"/>
                </c:ext>
              </c:extLst>
            </c:dLbl>
            <c:dLbl>
              <c:idx val="40"/>
              <c:layout>
                <c:manualLayout>
                  <c:x val="-2.5867948807831918E-2"/>
                  <c:y val="7.83580035272965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0EAD-4724-A8DE-71F8FC808077}"/>
                </c:ext>
              </c:extLst>
            </c:dLbl>
            <c:dLbl>
              <c:idx val="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0EAD-4724-A8DE-71F8FC808077}"/>
                </c:ext>
              </c:extLst>
            </c:dLbl>
            <c:dLbl>
              <c:idx val="42"/>
              <c:layout>
                <c:manualLayout>
                  <c:x val="-2.58679488078319E-2"/>
                  <c:y val="6.63029260615587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0EAD-4724-A8DE-71F8FC808077}"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0EAD-4724-A8DE-71F8FC808077}"/>
                </c:ext>
              </c:extLst>
            </c:dLbl>
            <c:dLbl>
              <c:idx val="44"/>
              <c:layout>
                <c:manualLayout>
                  <c:x val="-2.5867948807831911E-2"/>
                  <c:y val="7.83580035272966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0EAD-4724-A8DE-71F8FC808077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0EAD-4724-A8DE-71F8FC808077}"/>
                </c:ext>
              </c:extLst>
            </c:dLbl>
            <c:dLbl>
              <c:idx val="46"/>
              <c:layout>
                <c:manualLayout>
                  <c:x val="-2.5867948807831904E-2"/>
                  <c:y val="7.23304647944277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0EAD-4724-A8DE-71F8FC8080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'1 ponto'!$H$6:$H$52</c:f>
              <c:numCache>
                <c:formatCode>0</c:formatCode>
                <c:ptCount val="47"/>
                <c:pt idx="0">
                  <c:v>0</c:v>
                </c:pt>
                <c:pt idx="1">
                  <c:v>45</c:v>
                </c:pt>
                <c:pt idx="2">
                  <c:v>90</c:v>
                </c:pt>
                <c:pt idx="3">
                  <c:v>135</c:v>
                </c:pt>
                <c:pt idx="4">
                  <c:v>180</c:v>
                </c:pt>
                <c:pt idx="5">
                  <c:v>225</c:v>
                </c:pt>
                <c:pt idx="6">
                  <c:v>270</c:v>
                </c:pt>
                <c:pt idx="7">
                  <c:v>315</c:v>
                </c:pt>
                <c:pt idx="8">
                  <c:v>360</c:v>
                </c:pt>
                <c:pt idx="9">
                  <c:v>405</c:v>
                </c:pt>
                <c:pt idx="10">
                  <c:v>450</c:v>
                </c:pt>
                <c:pt idx="11">
                  <c:v>452.11538461538464</c:v>
                </c:pt>
                <c:pt idx="12">
                  <c:v>454.23076923076928</c:v>
                </c:pt>
                <c:pt idx="13">
                  <c:v>456.34615384615392</c:v>
                </c:pt>
                <c:pt idx="14">
                  <c:v>458.46153846153857</c:v>
                </c:pt>
                <c:pt idx="15">
                  <c:v>460.57692307692321</c:v>
                </c:pt>
                <c:pt idx="16">
                  <c:v>462.69230769230785</c:v>
                </c:pt>
                <c:pt idx="17">
                  <c:v>464.80769230769249</c:v>
                </c:pt>
                <c:pt idx="18">
                  <c:v>466.92307692307713</c:v>
                </c:pt>
                <c:pt idx="19">
                  <c:v>469.03846153846177</c:v>
                </c:pt>
                <c:pt idx="20">
                  <c:v>471.15384615384642</c:v>
                </c:pt>
                <c:pt idx="21">
                  <c:v>473.26923076923106</c:v>
                </c:pt>
                <c:pt idx="22">
                  <c:v>475.3846153846157</c:v>
                </c:pt>
                <c:pt idx="23">
                  <c:v>477.50000000000034</c:v>
                </c:pt>
                <c:pt idx="24">
                  <c:v>479.61538461538498</c:v>
                </c:pt>
                <c:pt idx="25">
                  <c:v>481.73076923076962</c:v>
                </c:pt>
                <c:pt idx="26">
                  <c:v>483.84615384615427</c:v>
                </c:pt>
                <c:pt idx="27">
                  <c:v>485.96153846153891</c:v>
                </c:pt>
                <c:pt idx="28">
                  <c:v>488.07692307692355</c:v>
                </c:pt>
                <c:pt idx="29">
                  <c:v>490.19230769230819</c:v>
                </c:pt>
                <c:pt idx="30">
                  <c:v>492.30769230769283</c:v>
                </c:pt>
                <c:pt idx="31">
                  <c:v>494.42307692307747</c:v>
                </c:pt>
                <c:pt idx="32">
                  <c:v>496.53846153846212</c:v>
                </c:pt>
                <c:pt idx="33">
                  <c:v>498.65384615384676</c:v>
                </c:pt>
                <c:pt idx="34">
                  <c:v>500.7692307692314</c:v>
                </c:pt>
                <c:pt idx="35">
                  <c:v>502.88461538461604</c:v>
                </c:pt>
                <c:pt idx="36">
                  <c:v>505</c:v>
                </c:pt>
                <c:pt idx="37">
                  <c:v>550</c:v>
                </c:pt>
                <c:pt idx="38">
                  <c:v>595</c:v>
                </c:pt>
                <c:pt idx="39">
                  <c:v>640</c:v>
                </c:pt>
                <c:pt idx="40">
                  <c:v>685</c:v>
                </c:pt>
                <c:pt idx="41">
                  <c:v>730</c:v>
                </c:pt>
                <c:pt idx="42">
                  <c:v>775</c:v>
                </c:pt>
                <c:pt idx="43">
                  <c:v>820</c:v>
                </c:pt>
                <c:pt idx="44">
                  <c:v>865</c:v>
                </c:pt>
                <c:pt idx="45">
                  <c:v>910</c:v>
                </c:pt>
                <c:pt idx="46">
                  <c:v>955</c:v>
                </c:pt>
              </c:numCache>
            </c:numRef>
          </c:cat>
          <c:val>
            <c:numRef>
              <c:f>'1 ponto'!$J$6:$J$52</c:f>
              <c:numCache>
                <c:formatCode>0.00</c:formatCode>
                <c:ptCount val="47"/>
                <c:pt idx="0">
                  <c:v>0</c:v>
                </c:pt>
                <c:pt idx="1">
                  <c:v>-2.21484375E-2</c:v>
                </c:pt>
                <c:pt idx="2">
                  <c:v>-8.8593749999999999E-2</c:v>
                </c:pt>
                <c:pt idx="3">
                  <c:v>-0.19933593750000003</c:v>
                </c:pt>
                <c:pt idx="4">
                  <c:v>-0.354375</c:v>
                </c:pt>
                <c:pt idx="5">
                  <c:v>-0.5537109375</c:v>
                </c:pt>
                <c:pt idx="6">
                  <c:v>-0.79734375000000013</c:v>
                </c:pt>
                <c:pt idx="7">
                  <c:v>-1.0852734374999999</c:v>
                </c:pt>
                <c:pt idx="8">
                  <c:v>-1.4175</c:v>
                </c:pt>
                <c:pt idx="9">
                  <c:v>-1.7940234374999999</c:v>
                </c:pt>
                <c:pt idx="10">
                  <c:v>-2.21484375</c:v>
                </c:pt>
                <c:pt idx="11">
                  <c:v>-2.1939307833508481</c:v>
                </c:pt>
                <c:pt idx="12">
                  <c:v>-2.1731157040907489</c:v>
                </c:pt>
                <c:pt idx="13">
                  <c:v>-2.1523985122197034</c:v>
                </c:pt>
                <c:pt idx="14">
                  <c:v>-2.1317792077377109</c:v>
                </c:pt>
                <c:pt idx="15">
                  <c:v>-2.1112577906447716</c:v>
                </c:pt>
                <c:pt idx="16">
                  <c:v>-2.0908342609408854</c:v>
                </c:pt>
                <c:pt idx="17">
                  <c:v>-2.0705086186260528</c:v>
                </c:pt>
                <c:pt idx="18">
                  <c:v>-2.0502808637002738</c:v>
                </c:pt>
                <c:pt idx="19">
                  <c:v>-2.0301509961635471</c:v>
                </c:pt>
                <c:pt idx="20">
                  <c:v>-2.0101190160158748</c:v>
                </c:pt>
                <c:pt idx="21">
                  <c:v>-1.9901849232572548</c:v>
                </c:pt>
                <c:pt idx="22">
                  <c:v>-1.9703487178876888</c:v>
                </c:pt>
                <c:pt idx="23">
                  <c:v>-1.9506103999071753</c:v>
                </c:pt>
                <c:pt idx="24">
                  <c:v>-1.9309699693157152</c:v>
                </c:pt>
                <c:pt idx="25">
                  <c:v>-1.9114274261133086</c:v>
                </c:pt>
                <c:pt idx="26">
                  <c:v>-1.8919827702999552</c:v>
                </c:pt>
                <c:pt idx="27">
                  <c:v>-1.8726360018756549</c:v>
                </c:pt>
                <c:pt idx="28">
                  <c:v>-1.8533871208404085</c:v>
                </c:pt>
                <c:pt idx="29">
                  <c:v>-1.8342361271942142</c:v>
                </c:pt>
                <c:pt idx="30">
                  <c:v>-1.8151830209370743</c:v>
                </c:pt>
                <c:pt idx="31">
                  <c:v>-1.7962278020689875</c:v>
                </c:pt>
                <c:pt idx="32">
                  <c:v>-1.7773704705899533</c:v>
                </c:pt>
                <c:pt idx="33">
                  <c:v>-1.7586110264999728</c:v>
                </c:pt>
                <c:pt idx="34">
                  <c:v>-1.7399494697990456</c:v>
                </c:pt>
                <c:pt idx="35">
                  <c:v>-1.7213858004871716</c:v>
                </c:pt>
                <c:pt idx="36">
                  <c:v>-1.7029200185643565</c:v>
                </c:pt>
                <c:pt idx="37">
                  <c:v>-1.3332920792079208</c:v>
                </c:pt>
                <c:pt idx="38">
                  <c:v>-1.0079610148514853</c:v>
                </c:pt>
                <c:pt idx="39">
                  <c:v>-0.72692682549504961</c:v>
                </c:pt>
                <c:pt idx="40">
                  <c:v>-0.49018951113861398</c:v>
                </c:pt>
                <c:pt idx="41">
                  <c:v>-0.2977490717821783</c:v>
                </c:pt>
                <c:pt idx="42">
                  <c:v>-0.14960550742574266</c:v>
                </c:pt>
                <c:pt idx="43">
                  <c:v>-4.575881806930699E-2</c:v>
                </c:pt>
                <c:pt idx="44">
                  <c:v>1.379099628712867E-2</c:v>
                </c:pt>
                <c:pt idx="45">
                  <c:v>2.9043935643564334E-2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EAD-4724-A8DE-71F8FC80807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upDownBars>
          <c:gapWidth val="219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marker val="1"/>
        <c:smooth val="0"/>
        <c:axId val="465787432"/>
        <c:axId val="1"/>
      </c:lineChart>
      <c:catAx>
        <c:axId val="465787432"/>
        <c:scaling>
          <c:orientation val="maxMin"/>
        </c:scaling>
        <c:delete val="0"/>
        <c:axPos val="t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axMin"/>
        </c:scaling>
        <c:delete val="1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465787432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3366"/>
                </a:solidFill>
                <a:latin typeface="Calibri"/>
                <a:ea typeface="Calibri"/>
                <a:cs typeface="Calibri"/>
              </a:defRPr>
            </a:pPr>
            <a:r>
              <a:rPr lang="pt-BR"/>
              <a:t>Cortante de içamento (tf) - 1 ponto</a:t>
            </a:r>
          </a:p>
        </c:rich>
      </c:tx>
      <c:layout>
        <c:manualLayout>
          <c:xMode val="edge"/>
          <c:yMode val="edge"/>
          <c:x val="7.3554814979054327E-3"/>
          <c:y val="2.6093844892000725E-2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1.5558119255919703E-2"/>
          <c:y val="0.27623800650431446"/>
          <c:w val="0.95072635365909197"/>
          <c:h val="0.65137092210782899"/>
        </c:manualLayout>
      </c:layout>
      <c:lineChart>
        <c:grouping val="standard"/>
        <c:varyColors val="0"/>
        <c:ser>
          <c:idx val="0"/>
          <c:order val="0"/>
          <c:tx>
            <c:strRef>
              <c:f>'1 ponto'!$I$6:$I$52</c:f>
              <c:strCache>
                <c:ptCount val="47"/>
                <c:pt idx="0">
                  <c:v>0,00</c:v>
                </c:pt>
                <c:pt idx="1">
                  <c:v>0,10</c:v>
                </c:pt>
                <c:pt idx="2">
                  <c:v>0,20</c:v>
                </c:pt>
                <c:pt idx="3">
                  <c:v>0,30</c:v>
                </c:pt>
                <c:pt idx="4">
                  <c:v>0,39</c:v>
                </c:pt>
                <c:pt idx="5">
                  <c:v>0,49</c:v>
                </c:pt>
                <c:pt idx="6">
                  <c:v>0,59</c:v>
                </c:pt>
                <c:pt idx="7">
                  <c:v>0,69</c:v>
                </c:pt>
                <c:pt idx="8">
                  <c:v>0,79</c:v>
                </c:pt>
                <c:pt idx="9">
                  <c:v>0,89</c:v>
                </c:pt>
                <c:pt idx="10">
                  <c:v>0,98</c:v>
                </c:pt>
                <c:pt idx="11">
                  <c:v>-0,99</c:v>
                </c:pt>
                <c:pt idx="12">
                  <c:v>-0,98</c:v>
                </c:pt>
                <c:pt idx="13">
                  <c:v>-0,98</c:v>
                </c:pt>
                <c:pt idx="14">
                  <c:v>-0,97</c:v>
                </c:pt>
                <c:pt idx="15">
                  <c:v>-0,97</c:v>
                </c:pt>
                <c:pt idx="16">
                  <c:v>-0,96</c:v>
                </c:pt>
                <c:pt idx="17">
                  <c:v>-0,96</c:v>
                </c:pt>
                <c:pt idx="18">
                  <c:v>-0,95</c:v>
                </c:pt>
                <c:pt idx="19">
                  <c:v>-0,95</c:v>
                </c:pt>
                <c:pt idx="20">
                  <c:v>-0,94</c:v>
                </c:pt>
                <c:pt idx="21">
                  <c:v>-0,94</c:v>
                </c:pt>
                <c:pt idx="22">
                  <c:v>-0,94</c:v>
                </c:pt>
                <c:pt idx="23">
                  <c:v>-0,93</c:v>
                </c:pt>
                <c:pt idx="24">
                  <c:v>-0,93</c:v>
                </c:pt>
                <c:pt idx="25">
                  <c:v>-0,92</c:v>
                </c:pt>
                <c:pt idx="26">
                  <c:v>-0,92</c:v>
                </c:pt>
                <c:pt idx="27">
                  <c:v>-0,91</c:v>
                </c:pt>
                <c:pt idx="28">
                  <c:v>-0,91</c:v>
                </c:pt>
                <c:pt idx="29">
                  <c:v>-0,90</c:v>
                </c:pt>
                <c:pt idx="30">
                  <c:v>-0,90</c:v>
                </c:pt>
                <c:pt idx="31">
                  <c:v>-0,89</c:v>
                </c:pt>
                <c:pt idx="32">
                  <c:v>-0,89</c:v>
                </c:pt>
                <c:pt idx="33">
                  <c:v>-0,88</c:v>
                </c:pt>
                <c:pt idx="34">
                  <c:v>-0,88</c:v>
                </c:pt>
                <c:pt idx="35">
                  <c:v>-0,88</c:v>
                </c:pt>
                <c:pt idx="36">
                  <c:v>-0,87</c:v>
                </c:pt>
                <c:pt idx="37">
                  <c:v>-0,77</c:v>
                </c:pt>
                <c:pt idx="38">
                  <c:v>-0,67</c:v>
                </c:pt>
                <c:pt idx="39">
                  <c:v>-0,58</c:v>
                </c:pt>
                <c:pt idx="40">
                  <c:v>-0,48</c:v>
                </c:pt>
                <c:pt idx="41">
                  <c:v>-0,38</c:v>
                </c:pt>
                <c:pt idx="42">
                  <c:v>-0,28</c:v>
                </c:pt>
                <c:pt idx="43">
                  <c:v>-0,18</c:v>
                </c:pt>
                <c:pt idx="44">
                  <c:v>-0,08</c:v>
                </c:pt>
                <c:pt idx="45">
                  <c:v>0,02</c:v>
                </c:pt>
                <c:pt idx="46">
                  <c:v>0,11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 w="3175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3.2448700617982572E-2"/>
                  <c:y val="7.0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A8A-4E95-9CDB-CA07E5F9E8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A8A-4E95-9CDB-CA07E5F9E848}"/>
                </c:ext>
              </c:extLst>
            </c:dLbl>
            <c:dLbl>
              <c:idx val="2"/>
              <c:layout>
                <c:manualLayout>
                  <c:x val="-4.2084524639004348E-2"/>
                  <c:y val="7.49652777777777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A8A-4E95-9CDB-CA07E5F9E848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A8A-4E95-9CDB-CA07E5F9E848}"/>
                </c:ext>
              </c:extLst>
            </c:dLbl>
            <c:dLbl>
              <c:idx val="4"/>
              <c:layout>
                <c:manualLayout>
                  <c:x val="-5.0955912978397563E-2"/>
                  <c:y val="7.84559339962725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A8A-4E95-9CDB-CA07E5F9E848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A8A-4E95-9CDB-CA07E5F9E848}"/>
                </c:ext>
              </c:extLst>
            </c:dLbl>
            <c:dLbl>
              <c:idx val="6"/>
              <c:layout>
                <c:manualLayout>
                  <c:x val="-5.0955912978397716E-2"/>
                  <c:y val="9.05260776880067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A8A-4E95-9CDB-CA07E5F9E848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A8A-4E95-9CDB-CA07E5F9E848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A8A-4E95-9CDB-CA07E5F9E848}"/>
                </c:ext>
              </c:extLst>
            </c:dLbl>
            <c:dLbl>
              <c:idx val="9"/>
              <c:layout>
                <c:manualLayout>
                  <c:x val="-5.0955919494065652E-2"/>
                  <c:y val="7.89868089900682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A8A-4E95-9CDB-CA07E5F9E848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A8A-4E95-9CDB-CA07E5F9E848}"/>
                </c:ext>
              </c:extLst>
            </c:dLbl>
            <c:dLbl>
              <c:idx val="11"/>
              <c:layout>
                <c:manualLayout>
                  <c:x val="-3.0413788760858266E-2"/>
                  <c:y val="-8.88290913637060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A8A-4E95-9CDB-CA07E5F9E848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A8A-4E95-9CDB-CA07E5F9E848}"/>
                </c:ext>
              </c:extLst>
            </c:dLbl>
            <c:dLbl>
              <c:idx val="13"/>
              <c:layout>
                <c:manualLayout>
                  <c:x val="-4.2084541679695539E-2"/>
                  <c:y val="-7.119047512738807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A8A-4E95-9CDB-CA07E5F9E848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A8A-4E95-9CDB-CA07E5F9E848}"/>
                </c:ext>
              </c:extLst>
            </c:dLbl>
            <c:dLbl>
              <c:idx val="15"/>
              <c:layout>
                <c:manualLayout>
                  <c:x val="-4.2084541679695539E-2"/>
                  <c:y val="-6.299874335897714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A8A-4E95-9CDB-CA07E5F9E848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A8A-4E95-9CDB-CA07E5F9E848}"/>
                </c:ext>
              </c:extLst>
            </c:dLbl>
            <c:dLbl>
              <c:idx val="17"/>
              <c:layout>
                <c:manualLayout>
                  <c:x val="-4.2084541679695608E-2"/>
                  <c:y val="-7.55998811325743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A8A-4E95-9CDB-CA07E5F9E848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A8A-4E95-9CDB-CA07E5F9E848}"/>
                </c:ext>
              </c:extLst>
            </c:dLbl>
            <c:dLbl>
              <c:idx val="19"/>
              <c:layout>
                <c:manualLayout>
                  <c:x val="-4.2084388473965215E-2"/>
                  <c:y val="-6.90472894903038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A8A-4E95-9CDB-CA07E5F9E848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A8A-4E95-9CDB-CA07E5F9E848}"/>
                </c:ext>
              </c:extLst>
            </c:dLbl>
            <c:dLbl>
              <c:idx val="21"/>
              <c:layout>
                <c:manualLayout>
                  <c:x val="-3.9943031981236658E-2"/>
                  <c:y val="-7.46165955000047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A8A-4E95-9CDB-CA07E5F9E848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A8A-4E95-9CDB-CA07E5F9E848}"/>
                </c:ext>
              </c:extLst>
            </c:dLbl>
            <c:dLbl>
              <c:idx val="23"/>
              <c:layout>
                <c:manualLayout>
                  <c:x val="-4.2084388473965215E-2"/>
                  <c:y val="-7.18319424951542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A8A-4E95-9CDB-CA07E5F9E848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A8A-4E95-9CDB-CA07E5F9E848}"/>
                </c:ext>
              </c:extLst>
            </c:dLbl>
            <c:dLbl>
              <c:idx val="25"/>
              <c:layout>
                <c:manualLayout>
                  <c:x val="-5.0955919494065652E-2"/>
                  <c:y val="-6.7447837987072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A8A-4E95-9CDB-CA07E5F9E848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A8A-4E95-9CDB-CA07E5F9E848}"/>
                </c:ext>
              </c:extLst>
            </c:dLbl>
            <c:dLbl>
              <c:idx val="27"/>
              <c:layout>
                <c:manualLayout>
                  <c:x val="-5.0955919494065652E-2"/>
                  <c:y val="-6.114726910027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A8A-4E95-9CDB-CA07E5F9E848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A8A-4E95-9CDB-CA07E5F9E848}"/>
                </c:ext>
              </c:extLst>
            </c:dLbl>
            <c:dLbl>
              <c:idx val="29"/>
              <c:layout>
                <c:manualLayout>
                  <c:x val="-5.0955919494065652E-2"/>
                  <c:y val="-7.9518140429262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A8A-4E95-9CDB-CA07E5F9E848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A8A-4E95-9CDB-CA07E5F9E848}"/>
                </c:ext>
              </c:extLst>
            </c:dLbl>
            <c:dLbl>
              <c:idx val="31"/>
              <c:layout>
                <c:manualLayout>
                  <c:x val="-5.0955919494065652E-2"/>
                  <c:y val="-9.89506824210655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A8A-4E95-9CDB-CA07E5F9E848}"/>
                </c:ext>
              </c:extLst>
            </c:dLbl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A8A-4E95-9CDB-CA07E5F9E848}"/>
                </c:ext>
              </c:extLst>
            </c:dLbl>
            <c:dLbl>
              <c:idx val="33"/>
              <c:layout>
                <c:manualLayout>
                  <c:x val="-4.4531758921559764E-2"/>
                  <c:y val="-0.1049858336421604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A8A-4E95-9CDB-CA07E5F9E848}"/>
                </c:ext>
              </c:extLst>
            </c:dLbl>
            <c:dLbl>
              <c:idx val="34"/>
              <c:layout>
                <c:manualLayout>
                  <c:x val="-5.3097255604836774E-2"/>
                  <c:y val="8.4491005842139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A8A-4E95-9CDB-CA07E5F9E848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EA8A-4E95-9CDB-CA07E5F9E848}"/>
                </c:ext>
              </c:extLst>
            </c:dLbl>
            <c:dLbl>
              <c:idx val="36"/>
              <c:layout>
                <c:manualLayout>
                  <c:x val="-4.6367151900708455E-2"/>
                  <c:y val="9.02861004216945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EA8A-4E95-9CDB-CA07E5F9E848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EA8A-4E95-9CDB-CA07E5F9E848}"/>
                </c:ext>
              </c:extLst>
            </c:dLbl>
            <c:dLbl>
              <c:idx val="38"/>
              <c:layout>
                <c:manualLayout>
                  <c:x val="-5.0955912978397563E-2"/>
                  <c:y val="8.4491005842139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EA8A-4E95-9CDB-CA07E5F9E848}"/>
                </c:ext>
              </c:extLst>
            </c:dLbl>
            <c:dLbl>
              <c:idx val="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EA8A-4E95-9CDB-CA07E5F9E848}"/>
                </c:ext>
              </c:extLst>
            </c:dLbl>
            <c:dLbl>
              <c:idx val="40"/>
              <c:layout>
                <c:manualLayout>
                  <c:x val="-5.0955912978397563E-2"/>
                  <c:y val="8.44910058421397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A8A-4E95-9CDB-CA07E5F9E848}"/>
                </c:ext>
              </c:extLst>
            </c:dLbl>
            <c:dLbl>
              <c:idx val="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EA8A-4E95-9CDB-CA07E5F9E848}"/>
                </c:ext>
              </c:extLst>
            </c:dLbl>
            <c:dLbl>
              <c:idx val="42"/>
              <c:layout>
                <c:manualLayout>
                  <c:x val="-4.8811758610088227E-2"/>
                  <c:y val="8.44910058421395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EA8A-4E95-9CDB-CA07E5F9E848}"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EA8A-4E95-9CDB-CA07E5F9E848}"/>
                </c:ext>
              </c:extLst>
            </c:dLbl>
            <c:dLbl>
              <c:idx val="44"/>
              <c:layout>
                <c:manualLayout>
                  <c:x val="-4.2084516487280857E-2"/>
                  <c:y val="7.54317452382331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EA8A-4E95-9CDB-CA07E5F9E848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EA8A-4E95-9CDB-CA07E5F9E848}"/>
                </c:ext>
              </c:extLst>
            </c:dLbl>
            <c:dLbl>
              <c:idx val="46"/>
              <c:layout>
                <c:manualLayout>
                  <c:x val="-3.9940362118971527E-2"/>
                  <c:y val="6.17359337681754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EA8A-4E95-9CDB-CA07E5F9E848}"/>
                </c:ext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t" anchorCtr="0">
                <a:spAutoFit/>
              </a:bodyPr>
              <a:lstStyle/>
              <a:p>
                <a:pPr algn="ctr">
                  <a:defRPr lang="en-US"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numRef>
              <c:f>'1 ponto'!$H$6:$H$52</c:f>
              <c:numCache>
                <c:formatCode>0</c:formatCode>
                <c:ptCount val="47"/>
                <c:pt idx="0">
                  <c:v>0</c:v>
                </c:pt>
                <c:pt idx="1">
                  <c:v>45</c:v>
                </c:pt>
                <c:pt idx="2">
                  <c:v>90</c:v>
                </c:pt>
                <c:pt idx="3">
                  <c:v>135</c:v>
                </c:pt>
                <c:pt idx="4">
                  <c:v>180</c:v>
                </c:pt>
                <c:pt idx="5">
                  <c:v>225</c:v>
                </c:pt>
                <c:pt idx="6">
                  <c:v>270</c:v>
                </c:pt>
                <c:pt idx="7">
                  <c:v>315</c:v>
                </c:pt>
                <c:pt idx="8">
                  <c:v>360</c:v>
                </c:pt>
                <c:pt idx="9">
                  <c:v>405</c:v>
                </c:pt>
                <c:pt idx="10">
                  <c:v>450</c:v>
                </c:pt>
                <c:pt idx="11">
                  <c:v>452.11538461538464</c:v>
                </c:pt>
                <c:pt idx="12">
                  <c:v>454.23076923076928</c:v>
                </c:pt>
                <c:pt idx="13">
                  <c:v>456.34615384615392</c:v>
                </c:pt>
                <c:pt idx="14">
                  <c:v>458.46153846153857</c:v>
                </c:pt>
                <c:pt idx="15">
                  <c:v>460.57692307692321</c:v>
                </c:pt>
                <c:pt idx="16">
                  <c:v>462.69230769230785</c:v>
                </c:pt>
                <c:pt idx="17">
                  <c:v>464.80769230769249</c:v>
                </c:pt>
                <c:pt idx="18">
                  <c:v>466.92307692307713</c:v>
                </c:pt>
                <c:pt idx="19">
                  <c:v>469.03846153846177</c:v>
                </c:pt>
                <c:pt idx="20">
                  <c:v>471.15384615384642</c:v>
                </c:pt>
                <c:pt idx="21">
                  <c:v>473.26923076923106</c:v>
                </c:pt>
                <c:pt idx="22">
                  <c:v>475.3846153846157</c:v>
                </c:pt>
                <c:pt idx="23">
                  <c:v>477.50000000000034</c:v>
                </c:pt>
                <c:pt idx="24">
                  <c:v>479.61538461538498</c:v>
                </c:pt>
                <c:pt idx="25">
                  <c:v>481.73076923076962</c:v>
                </c:pt>
                <c:pt idx="26">
                  <c:v>483.84615384615427</c:v>
                </c:pt>
                <c:pt idx="27">
                  <c:v>485.96153846153891</c:v>
                </c:pt>
                <c:pt idx="28">
                  <c:v>488.07692307692355</c:v>
                </c:pt>
                <c:pt idx="29">
                  <c:v>490.19230769230819</c:v>
                </c:pt>
                <c:pt idx="30">
                  <c:v>492.30769230769283</c:v>
                </c:pt>
                <c:pt idx="31">
                  <c:v>494.42307692307747</c:v>
                </c:pt>
                <c:pt idx="32">
                  <c:v>496.53846153846212</c:v>
                </c:pt>
                <c:pt idx="33">
                  <c:v>498.65384615384676</c:v>
                </c:pt>
                <c:pt idx="34">
                  <c:v>500.7692307692314</c:v>
                </c:pt>
                <c:pt idx="35">
                  <c:v>502.88461538461604</c:v>
                </c:pt>
                <c:pt idx="36">
                  <c:v>505</c:v>
                </c:pt>
                <c:pt idx="37">
                  <c:v>550</c:v>
                </c:pt>
                <c:pt idx="38">
                  <c:v>595</c:v>
                </c:pt>
                <c:pt idx="39">
                  <c:v>640</c:v>
                </c:pt>
                <c:pt idx="40">
                  <c:v>685</c:v>
                </c:pt>
                <c:pt idx="41">
                  <c:v>730</c:v>
                </c:pt>
                <c:pt idx="42">
                  <c:v>775</c:v>
                </c:pt>
                <c:pt idx="43">
                  <c:v>820</c:v>
                </c:pt>
                <c:pt idx="44">
                  <c:v>865</c:v>
                </c:pt>
                <c:pt idx="45">
                  <c:v>910</c:v>
                </c:pt>
                <c:pt idx="46">
                  <c:v>955</c:v>
                </c:pt>
              </c:numCache>
            </c:numRef>
          </c:cat>
          <c:val>
            <c:numRef>
              <c:f>'1 ponto'!$I$6:$I$52</c:f>
              <c:numCache>
                <c:formatCode>0.00</c:formatCode>
                <c:ptCount val="47"/>
                <c:pt idx="0">
                  <c:v>0</c:v>
                </c:pt>
                <c:pt idx="1">
                  <c:v>9.8437499999999997E-2</c:v>
                </c:pt>
                <c:pt idx="2">
                  <c:v>0.19687499999999999</c:v>
                </c:pt>
                <c:pt idx="3">
                  <c:v>0.29531250000000003</c:v>
                </c:pt>
                <c:pt idx="4">
                  <c:v>0.39374999999999999</c:v>
                </c:pt>
                <c:pt idx="5">
                  <c:v>0.4921875</c:v>
                </c:pt>
                <c:pt idx="6">
                  <c:v>0.59062500000000007</c:v>
                </c:pt>
                <c:pt idx="7">
                  <c:v>0.68906250000000002</c:v>
                </c:pt>
                <c:pt idx="8">
                  <c:v>0.78749999999999998</c:v>
                </c:pt>
                <c:pt idx="9">
                  <c:v>0.88593749999999993</c:v>
                </c:pt>
                <c:pt idx="10">
                  <c:v>0.984375</c:v>
                </c:pt>
                <c:pt idx="11">
                  <c:v>-0.98629926694592518</c:v>
                </c:pt>
                <c:pt idx="12">
                  <c:v>-0.98167186309977128</c:v>
                </c:pt>
                <c:pt idx="13">
                  <c:v>-0.97704445925361738</c:v>
                </c:pt>
                <c:pt idx="14">
                  <c:v>-0.97241705540746348</c:v>
                </c:pt>
                <c:pt idx="15">
                  <c:v>-0.96778965156130958</c:v>
                </c:pt>
                <c:pt idx="16">
                  <c:v>-0.96316224771515568</c:v>
                </c:pt>
                <c:pt idx="17">
                  <c:v>-0.95853484386900178</c:v>
                </c:pt>
                <c:pt idx="18">
                  <c:v>-0.95390744002284789</c:v>
                </c:pt>
                <c:pt idx="19">
                  <c:v>-0.94928003617669399</c:v>
                </c:pt>
                <c:pt idx="20">
                  <c:v>-0.94465263233054009</c:v>
                </c:pt>
                <c:pt idx="21">
                  <c:v>-0.94002522848438619</c:v>
                </c:pt>
                <c:pt idx="22">
                  <c:v>-0.93539782463823229</c:v>
                </c:pt>
                <c:pt idx="23">
                  <c:v>-0.93077042079207839</c:v>
                </c:pt>
                <c:pt idx="24">
                  <c:v>-0.92614301694592449</c:v>
                </c:pt>
                <c:pt idx="25">
                  <c:v>-0.92151561309977059</c:v>
                </c:pt>
                <c:pt idx="26">
                  <c:v>-0.91688820925361669</c:v>
                </c:pt>
                <c:pt idx="27">
                  <c:v>-0.91226080540746279</c:v>
                </c:pt>
                <c:pt idx="28">
                  <c:v>-0.90763340156130889</c:v>
                </c:pt>
                <c:pt idx="29">
                  <c:v>-0.903005997715155</c:v>
                </c:pt>
                <c:pt idx="30">
                  <c:v>-0.8983785938690011</c:v>
                </c:pt>
                <c:pt idx="31">
                  <c:v>-0.8937511900228472</c:v>
                </c:pt>
                <c:pt idx="32">
                  <c:v>-0.8891237861766933</c:v>
                </c:pt>
                <c:pt idx="33">
                  <c:v>-0.8844963823305394</c:v>
                </c:pt>
                <c:pt idx="34">
                  <c:v>-0.8798689784843855</c:v>
                </c:pt>
                <c:pt idx="35">
                  <c:v>-0.8752415746382316</c:v>
                </c:pt>
                <c:pt idx="36">
                  <c:v>-0.87061417079207915</c:v>
                </c:pt>
                <c:pt idx="37">
                  <c:v>-0.77217667079207919</c:v>
                </c:pt>
                <c:pt idx="38">
                  <c:v>-0.67373917079207923</c:v>
                </c:pt>
                <c:pt idx="39">
                  <c:v>-0.57530167079207928</c:v>
                </c:pt>
                <c:pt idx="40">
                  <c:v>-0.47686417079207927</c:v>
                </c:pt>
                <c:pt idx="41">
                  <c:v>-0.37842667079207926</c:v>
                </c:pt>
                <c:pt idx="42">
                  <c:v>-0.27998917079207924</c:v>
                </c:pt>
                <c:pt idx="43">
                  <c:v>-0.18155167079207923</c:v>
                </c:pt>
                <c:pt idx="44">
                  <c:v>-8.3114170792079251E-2</c:v>
                </c:pt>
                <c:pt idx="45">
                  <c:v>1.5323329207920747E-2</c:v>
                </c:pt>
                <c:pt idx="46">
                  <c:v>0.11376082920792074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8A-4E95-9CDB-CA07E5F9E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202"/>
          <c:upBars/>
          <c:downBars/>
        </c:upDownBars>
        <c:marker val="1"/>
        <c:smooth val="0"/>
        <c:axId val="465785464"/>
        <c:axId val="1"/>
      </c:lineChart>
      <c:catAx>
        <c:axId val="465785464"/>
        <c:scaling>
          <c:orientation val="maxMin"/>
        </c:scaling>
        <c:delete val="0"/>
        <c:axPos val="t"/>
        <c:majorGridlines>
          <c:spPr>
            <a:ln w="9525" cap="flat" cmpd="sng" algn="ctr">
              <a:noFill/>
              <a:bevel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285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700" b="0" i="0" u="none" strike="noStrike" baseline="0">
                <a:solidFill>
                  <a:schemeClr val="accent1"/>
                </a:solidFill>
                <a:latin typeface="+mn-lt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axMin"/>
        </c:scaling>
        <c:delete val="1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465785464"/>
        <c:crossesAt val="0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 b="0" i="0" u="none" strike="noStrike" baseline="0">
          <a:solidFill>
            <a:srgbClr val="333399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3366"/>
                </a:solidFill>
                <a:latin typeface="Calibri"/>
                <a:ea typeface="Calibri"/>
                <a:cs typeface="Calibri"/>
              </a:defRPr>
            </a:pPr>
            <a:r>
              <a:rPr lang="pt-BR"/>
              <a:t>Deformação no içamento (mm) - 1 ponto</a:t>
            </a:r>
          </a:p>
        </c:rich>
      </c:tx>
      <c:layout>
        <c:manualLayout>
          <c:xMode val="edge"/>
          <c:yMode val="edge"/>
          <c:x val="6.661816293376208E-3"/>
          <c:y val="2.7489159741966543E-2"/>
        </c:manualLayout>
      </c:layout>
      <c:overlay val="0"/>
      <c:spPr>
        <a:noFill/>
        <a:ln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 ponto'!$K$6:$K$52</c:f>
              <c:strCache>
                <c:ptCount val="47"/>
                <c:pt idx="0">
                  <c:v>34,99</c:v>
                </c:pt>
                <c:pt idx="1">
                  <c:v>30,91</c:v>
                </c:pt>
                <c:pt idx="2">
                  <c:v>26,85</c:v>
                </c:pt>
                <c:pt idx="3">
                  <c:v>22,81</c:v>
                </c:pt>
                <c:pt idx="4">
                  <c:v>18,84</c:v>
                </c:pt>
                <c:pt idx="5">
                  <c:v>14,98</c:v>
                </c:pt>
                <c:pt idx="6">
                  <c:v>11,29</c:v>
                </c:pt>
                <c:pt idx="7">
                  <c:v>7,85</c:v>
                </c:pt>
                <c:pt idx="8">
                  <c:v>4,75</c:v>
                </c:pt>
                <c:pt idx="9">
                  <c:v>2,09</c:v>
                </c:pt>
                <c:pt idx="10">
                  <c:v>0,00</c:v>
                </c:pt>
                <c:pt idx="11">
                  <c:v>-0,08</c:v>
                </c:pt>
                <c:pt idx="12">
                  <c:v>-0,16</c:v>
                </c:pt>
                <c:pt idx="13">
                  <c:v>-0,24</c:v>
                </c:pt>
                <c:pt idx="14">
                  <c:v>-0,32</c:v>
                </c:pt>
                <c:pt idx="15">
                  <c:v>-0,40</c:v>
                </c:pt>
                <c:pt idx="16">
                  <c:v>-0,47</c:v>
                </c:pt>
                <c:pt idx="17">
                  <c:v>-0,55</c:v>
                </c:pt>
                <c:pt idx="18">
                  <c:v>-0,62</c:v>
                </c:pt>
                <c:pt idx="19">
                  <c:v>-0,69</c:v>
                </c:pt>
                <c:pt idx="20">
                  <c:v>-0,76</c:v>
                </c:pt>
                <c:pt idx="21">
                  <c:v>-0,83</c:v>
                </c:pt>
                <c:pt idx="22">
                  <c:v>-0,89</c:v>
                </c:pt>
                <c:pt idx="23">
                  <c:v>-0,96</c:v>
                </c:pt>
                <c:pt idx="24">
                  <c:v>-1,02</c:v>
                </c:pt>
                <c:pt idx="25">
                  <c:v>-1,09</c:v>
                </c:pt>
                <c:pt idx="26">
                  <c:v>-1,15</c:v>
                </c:pt>
                <c:pt idx="27">
                  <c:v>-1,21</c:v>
                </c:pt>
                <c:pt idx="28">
                  <c:v>-1,27</c:v>
                </c:pt>
                <c:pt idx="29">
                  <c:v>-1,32</c:v>
                </c:pt>
                <c:pt idx="30">
                  <c:v>-1,38</c:v>
                </c:pt>
                <c:pt idx="31">
                  <c:v>-1,43</c:v>
                </c:pt>
                <c:pt idx="32">
                  <c:v>-1,49</c:v>
                </c:pt>
                <c:pt idx="33">
                  <c:v>-1,54</c:v>
                </c:pt>
                <c:pt idx="34">
                  <c:v>-1,59</c:v>
                </c:pt>
                <c:pt idx="35">
                  <c:v>-1,64</c:v>
                </c:pt>
                <c:pt idx="36">
                  <c:v>-1,69</c:v>
                </c:pt>
                <c:pt idx="37">
                  <c:v>-2,47</c:v>
                </c:pt>
                <c:pt idx="38">
                  <c:v>-2,83</c:v>
                </c:pt>
                <c:pt idx="39">
                  <c:v>-2,88</c:v>
                </c:pt>
                <c:pt idx="40">
                  <c:v>-2,70</c:v>
                </c:pt>
                <c:pt idx="41">
                  <c:v>-2,37</c:v>
                </c:pt>
                <c:pt idx="42">
                  <c:v>-1,94</c:v>
                </c:pt>
                <c:pt idx="43">
                  <c:v>-1,46</c:v>
                </c:pt>
                <c:pt idx="44">
                  <c:v>-0,97</c:v>
                </c:pt>
                <c:pt idx="45">
                  <c:v>-0,48</c:v>
                </c:pt>
                <c:pt idx="46">
                  <c:v>0,00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ln w="3175"/>
            </c:spPr>
          </c:marker>
          <c:dLbls>
            <c:dLbl>
              <c:idx val="0"/>
              <c:layout>
                <c:manualLayout>
                  <c:x val="-8.5808535145267262E-3"/>
                  <c:y val="-8.42670402600240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6B-469F-B80E-0DAD314D5D4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6B-469F-B80E-0DAD314D5D45}"/>
                </c:ext>
              </c:extLst>
            </c:dLbl>
            <c:dLbl>
              <c:idx val="2"/>
              <c:layout>
                <c:manualLayout>
                  <c:x val="0"/>
                  <c:y val="-0.1003389165381886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6B-469F-B80E-0DAD314D5D4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6B-469F-B80E-0DAD314D5D45}"/>
                </c:ext>
              </c:extLst>
            </c:dLbl>
            <c:dLbl>
              <c:idx val="4"/>
              <c:layout>
                <c:manualLayout>
                  <c:x val="0"/>
                  <c:y val="-9.02861145643114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6B-469F-B80E-0DAD314D5D4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B6B-469F-B80E-0DAD314D5D45}"/>
                </c:ext>
              </c:extLst>
            </c:dLbl>
            <c:dLbl>
              <c:idx val="6"/>
              <c:layout>
                <c:manualLayout>
                  <c:x val="-1.5731383046352968E-16"/>
                  <c:y val="-9.63051888685989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6B-469F-B80E-0DAD314D5D4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6B-469F-B80E-0DAD314D5D45}"/>
                </c:ext>
              </c:extLst>
            </c:dLbl>
            <c:dLbl>
              <c:idx val="8"/>
              <c:layout>
                <c:manualLayout>
                  <c:x val="0"/>
                  <c:y val="-0.1203814860857485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6B-469F-B80E-0DAD314D5D4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B6B-469F-B80E-0DAD314D5D45}"/>
                </c:ext>
              </c:extLst>
            </c:dLbl>
            <c:dLbl>
              <c:idx val="10"/>
              <c:layout>
                <c:manualLayout>
                  <c:x val="0"/>
                  <c:y val="5.93652402120087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6B-469F-B80E-0DAD314D5D4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6B-469F-B80E-0DAD314D5D45}"/>
                </c:ext>
              </c:extLst>
            </c:dLbl>
            <c:dLbl>
              <c:idx val="12"/>
              <c:layout>
                <c:manualLayout>
                  <c:x val="-1.1640075718219239E-16"/>
                  <c:y val="5.14771775914724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6B-469F-B80E-0DAD314D5D4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B6B-469F-B80E-0DAD314D5D45}"/>
                </c:ext>
              </c:extLst>
            </c:dLbl>
            <c:dLbl>
              <c:idx val="14"/>
              <c:layout>
                <c:manualLayout>
                  <c:x val="0"/>
                  <c:y val="4.67974341740658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B6B-469F-B80E-0DAD314D5D4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B6B-469F-B80E-0DAD314D5D45}"/>
                </c:ext>
              </c:extLst>
            </c:dLbl>
            <c:dLbl>
              <c:idx val="16"/>
              <c:layout>
                <c:manualLayout>
                  <c:x val="0"/>
                  <c:y val="5.14771775914724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B6B-469F-B80E-0DAD314D5D4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B6B-469F-B80E-0DAD314D5D45}"/>
                </c:ext>
              </c:extLst>
            </c:dLbl>
            <c:dLbl>
              <c:idx val="18"/>
              <c:layout>
                <c:manualLayout>
                  <c:x val="0"/>
                  <c:y val="4.21176907566590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B6B-469F-B80E-0DAD314D5D4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B6B-469F-B80E-0DAD314D5D45}"/>
                </c:ext>
              </c:extLst>
            </c:dLbl>
            <c:dLbl>
              <c:idx val="20"/>
              <c:layout>
                <c:manualLayout>
                  <c:x val="0"/>
                  <c:y val="6.55164389450220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B6B-469F-B80E-0DAD314D5D4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B6B-469F-B80E-0DAD314D5D45}"/>
                </c:ext>
              </c:extLst>
            </c:dLbl>
            <c:dLbl>
              <c:idx val="22"/>
              <c:layout>
                <c:manualLayout>
                  <c:x val="0"/>
                  <c:y val="6.55164078436921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B6B-469F-B80E-0DAD314D5D4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B6B-469F-B80E-0DAD314D5D45}"/>
                </c:ext>
              </c:extLst>
            </c:dLbl>
            <c:dLbl>
              <c:idx val="24"/>
              <c:layout>
                <c:manualLayout>
                  <c:x val="0"/>
                  <c:y val="4.815259443429932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2B6B-469F-B80E-0DAD314D5D4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B6B-469F-B80E-0DAD314D5D45}"/>
                </c:ext>
              </c:extLst>
            </c:dLbl>
            <c:dLbl>
              <c:idx val="26"/>
              <c:layout>
                <c:manualLayout>
                  <c:x val="-7.8656915231764838E-17"/>
                  <c:y val="4.81525944342994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2B6B-469F-B80E-0DAD314D5D45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B6B-469F-B80E-0DAD314D5D45}"/>
                </c:ext>
              </c:extLst>
            </c:dLbl>
            <c:dLbl>
              <c:idx val="28"/>
              <c:layout>
                <c:manualLayout>
                  <c:x val="0"/>
                  <c:y val="5.44366091255624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2B6B-469F-B80E-0DAD314D5D4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B6B-469F-B80E-0DAD314D5D45}"/>
                </c:ext>
              </c:extLst>
            </c:dLbl>
            <c:dLbl>
              <c:idx val="30"/>
              <c:layout>
                <c:manualLayout>
                  <c:x val="0"/>
                  <c:y val="6.64744231705531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2B6B-469F-B80E-0DAD314D5D45}"/>
                </c:ext>
              </c:extLst>
            </c:dLbl>
            <c:dLbl>
              <c:idx val="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B6B-469F-B80E-0DAD314D5D45}"/>
                </c:ext>
              </c:extLst>
            </c:dLbl>
            <c:dLbl>
              <c:idx val="32"/>
              <c:layout>
                <c:manualLayout>
                  <c:x val="0"/>
                  <c:y val="8.15641192094398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2B6B-469F-B80E-0DAD314D5D45}"/>
                </c:ext>
              </c:extLst>
            </c:dLbl>
            <c:dLbl>
              <c:idx val="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B6B-469F-B80E-0DAD314D5D45}"/>
                </c:ext>
              </c:extLst>
            </c:dLbl>
            <c:dLbl>
              <c:idx val="34"/>
              <c:layout>
                <c:manualLayout>
                  <c:x val="3.5670988802632815E-17"/>
                  <c:y val="7.30660528597044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2B6B-469F-B80E-0DAD314D5D45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2B6B-469F-B80E-0DAD314D5D45}"/>
                </c:ext>
              </c:extLst>
            </c:dLbl>
            <c:dLbl>
              <c:idx val="36"/>
              <c:layout>
                <c:manualLayout>
                  <c:x val="0"/>
                  <c:y val="7.351730389382142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2B6B-469F-B80E-0DAD314D5D45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2B6B-469F-B80E-0DAD314D5D45}"/>
                </c:ext>
              </c:extLst>
            </c:dLbl>
            <c:dLbl>
              <c:idx val="38"/>
              <c:layout>
                <c:manualLayout>
                  <c:x val="0"/>
                  <c:y val="9.65701952650307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2B6B-469F-B80E-0DAD314D5D45}"/>
                </c:ext>
              </c:extLst>
            </c:dLbl>
            <c:dLbl>
              <c:idx val="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2B6B-469F-B80E-0DAD314D5D45}"/>
                </c:ext>
              </c:extLst>
            </c:dLbl>
            <c:dLbl>
              <c:idx val="40"/>
              <c:layout>
                <c:manualLayout>
                  <c:x val="-3.9328457615882419E-17"/>
                  <c:y val="0.1203814860857484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2B6B-469F-B80E-0DAD314D5D45}"/>
                </c:ext>
              </c:extLst>
            </c:dLbl>
            <c:dLbl>
              <c:idx val="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2B6B-469F-B80E-0DAD314D5D45}"/>
                </c:ext>
              </c:extLst>
            </c:dLbl>
            <c:dLbl>
              <c:idx val="42"/>
              <c:layout>
                <c:manualLayout>
                  <c:x val="0"/>
                  <c:y val="0.1264005603900360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2B6B-469F-B80E-0DAD314D5D45}"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2B6B-469F-B80E-0DAD314D5D45}"/>
                </c:ext>
              </c:extLst>
            </c:dLbl>
            <c:dLbl>
              <c:idx val="44"/>
              <c:layout>
                <c:manualLayout>
                  <c:x val="-1.9664228807941209E-17"/>
                  <c:y val="0.142409402268006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2B6B-469F-B80E-0DAD314D5D45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2B6B-469F-B80E-0DAD314D5D45}"/>
                </c:ext>
              </c:extLst>
            </c:dLbl>
            <c:dLbl>
              <c:idx val="46"/>
              <c:layout>
                <c:manualLayout>
                  <c:x val="-1.5016493650421771E-2"/>
                  <c:y val="0.150429463321325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2B6B-469F-B80E-0DAD314D5D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poly"/>
            <c:order val="6"/>
            <c:dispRSqr val="0"/>
            <c:dispEq val="0"/>
          </c:trendline>
          <c:cat>
            <c:numRef>
              <c:f>'1 ponto'!$H$6:$H$52</c:f>
              <c:numCache>
                <c:formatCode>0</c:formatCode>
                <c:ptCount val="47"/>
                <c:pt idx="0">
                  <c:v>0</c:v>
                </c:pt>
                <c:pt idx="1">
                  <c:v>45</c:v>
                </c:pt>
                <c:pt idx="2">
                  <c:v>90</c:v>
                </c:pt>
                <c:pt idx="3">
                  <c:v>135</c:v>
                </c:pt>
                <c:pt idx="4">
                  <c:v>180</c:v>
                </c:pt>
                <c:pt idx="5">
                  <c:v>225</c:v>
                </c:pt>
                <c:pt idx="6">
                  <c:v>270</c:v>
                </c:pt>
                <c:pt idx="7">
                  <c:v>315</c:v>
                </c:pt>
                <c:pt idx="8">
                  <c:v>360</c:v>
                </c:pt>
                <c:pt idx="9">
                  <c:v>405</c:v>
                </c:pt>
                <c:pt idx="10">
                  <c:v>450</c:v>
                </c:pt>
                <c:pt idx="11">
                  <c:v>452.11538461538464</c:v>
                </c:pt>
                <c:pt idx="12">
                  <c:v>454.23076923076928</c:v>
                </c:pt>
                <c:pt idx="13">
                  <c:v>456.34615384615392</c:v>
                </c:pt>
                <c:pt idx="14">
                  <c:v>458.46153846153857</c:v>
                </c:pt>
                <c:pt idx="15">
                  <c:v>460.57692307692321</c:v>
                </c:pt>
                <c:pt idx="16">
                  <c:v>462.69230769230785</c:v>
                </c:pt>
                <c:pt idx="17">
                  <c:v>464.80769230769249</c:v>
                </c:pt>
                <c:pt idx="18">
                  <c:v>466.92307692307713</c:v>
                </c:pt>
                <c:pt idx="19">
                  <c:v>469.03846153846177</c:v>
                </c:pt>
                <c:pt idx="20">
                  <c:v>471.15384615384642</c:v>
                </c:pt>
                <c:pt idx="21">
                  <c:v>473.26923076923106</c:v>
                </c:pt>
                <c:pt idx="22">
                  <c:v>475.3846153846157</c:v>
                </c:pt>
                <c:pt idx="23">
                  <c:v>477.50000000000034</c:v>
                </c:pt>
                <c:pt idx="24">
                  <c:v>479.61538461538498</c:v>
                </c:pt>
                <c:pt idx="25">
                  <c:v>481.73076923076962</c:v>
                </c:pt>
                <c:pt idx="26">
                  <c:v>483.84615384615427</c:v>
                </c:pt>
                <c:pt idx="27">
                  <c:v>485.96153846153891</c:v>
                </c:pt>
                <c:pt idx="28">
                  <c:v>488.07692307692355</c:v>
                </c:pt>
                <c:pt idx="29">
                  <c:v>490.19230769230819</c:v>
                </c:pt>
                <c:pt idx="30">
                  <c:v>492.30769230769283</c:v>
                </c:pt>
                <c:pt idx="31">
                  <c:v>494.42307692307747</c:v>
                </c:pt>
                <c:pt idx="32">
                  <c:v>496.53846153846212</c:v>
                </c:pt>
                <c:pt idx="33">
                  <c:v>498.65384615384676</c:v>
                </c:pt>
                <c:pt idx="34">
                  <c:v>500.7692307692314</c:v>
                </c:pt>
                <c:pt idx="35">
                  <c:v>502.88461538461604</c:v>
                </c:pt>
                <c:pt idx="36">
                  <c:v>505</c:v>
                </c:pt>
                <c:pt idx="37">
                  <c:v>550</c:v>
                </c:pt>
                <c:pt idx="38">
                  <c:v>595</c:v>
                </c:pt>
                <c:pt idx="39">
                  <c:v>640</c:v>
                </c:pt>
                <c:pt idx="40">
                  <c:v>685</c:v>
                </c:pt>
                <c:pt idx="41">
                  <c:v>730</c:v>
                </c:pt>
                <c:pt idx="42">
                  <c:v>775</c:v>
                </c:pt>
                <c:pt idx="43">
                  <c:v>820</c:v>
                </c:pt>
                <c:pt idx="44">
                  <c:v>865</c:v>
                </c:pt>
                <c:pt idx="45">
                  <c:v>910</c:v>
                </c:pt>
                <c:pt idx="46">
                  <c:v>955</c:v>
                </c:pt>
              </c:numCache>
            </c:numRef>
          </c:cat>
          <c:val>
            <c:numRef>
              <c:f>'1 ponto'!$K$6:$K$52</c:f>
              <c:numCache>
                <c:formatCode>0.00</c:formatCode>
                <c:ptCount val="47"/>
                <c:pt idx="0">
                  <c:v>34.989148642568694</c:v>
                </c:pt>
                <c:pt idx="1">
                  <c:v>30.914911748457175</c:v>
                </c:pt>
                <c:pt idx="2">
                  <c:v>26.848737425334612</c:v>
                </c:pt>
                <c:pt idx="3">
                  <c:v>22.811357998601153</c:v>
                </c:pt>
                <c:pt idx="4">
                  <c:v>18.837327343923782</c:v>
                </c:pt>
                <c:pt idx="5">
                  <c:v>14.975020887236193</c:v>
                </c:pt>
                <c:pt idx="6">
                  <c:v>11.286635604738903</c:v>
                </c:pt>
                <c:pt idx="7">
                  <c:v>7.8481900228991899</c:v>
                </c:pt>
                <c:pt idx="8">
                  <c:v>4.7495242184511115</c:v>
                </c:pt>
                <c:pt idx="9">
                  <c:v>2.0942998183955095</c:v>
                </c:pt>
                <c:pt idx="10">
                  <c:v>0</c:v>
                </c:pt>
                <c:pt idx="11">
                  <c:v>-8.2501362770968117E-2</c:v>
                </c:pt>
                <c:pt idx="12">
                  <c:v>-0.16348999400720798</c:v>
                </c:pt>
                <c:pt idx="13">
                  <c:v>-0.24298024580676758</c:v>
                </c:pt>
                <c:pt idx="14">
                  <c:v>-0.32098640277388907</c:v>
                </c:pt>
                <c:pt idx="15">
                  <c:v>-0.39752268201895086</c:v>
                </c:pt>
                <c:pt idx="16">
                  <c:v>-0.47260323315851321</c:v>
                </c:pt>
                <c:pt idx="17">
                  <c:v>-0.54624213831531931</c:v>
                </c:pt>
                <c:pt idx="18">
                  <c:v>-0.61845341211827376</c:v>
                </c:pt>
                <c:pt idx="19">
                  <c:v>-0.68925100170244158</c:v>
                </c:pt>
                <c:pt idx="20">
                  <c:v>-0.75864878670908265</c:v>
                </c:pt>
                <c:pt idx="21">
                  <c:v>-0.82666057928560011</c:v>
                </c:pt>
                <c:pt idx="22">
                  <c:v>-0.89330012408559689</c:v>
                </c:pt>
                <c:pt idx="23">
                  <c:v>-0.95858109826882232</c:v>
                </c:pt>
                <c:pt idx="24">
                  <c:v>-1.0225171115012059</c:v>
                </c:pt>
                <c:pt idx="25">
                  <c:v>-1.0851217059548541</c:v>
                </c:pt>
                <c:pt idx="26">
                  <c:v>-1.1464083563080325</c:v>
                </c:pt>
                <c:pt idx="27">
                  <c:v>-1.2063904697451839</c:v>
                </c:pt>
                <c:pt idx="28">
                  <c:v>-1.2650813859569185</c:v>
                </c:pt>
                <c:pt idx="29">
                  <c:v>-1.3224943771400224</c:v>
                </c:pt>
                <c:pt idx="30">
                  <c:v>-1.3786426479974463</c:v>
                </c:pt>
                <c:pt idx="31">
                  <c:v>-1.4335393357383199</c:v>
                </c:pt>
                <c:pt idx="32">
                  <c:v>-1.4871975100779349</c:v>
                </c:pt>
                <c:pt idx="33">
                  <c:v>-1.53963017323776</c:v>
                </c:pt>
                <c:pt idx="34">
                  <c:v>-1.5908502599454268</c:v>
                </c:pt>
                <c:pt idx="35">
                  <c:v>-1.6408706374347504</c:v>
                </c:pt>
                <c:pt idx="36">
                  <c:v>-1.6897041054456847</c:v>
                </c:pt>
                <c:pt idx="37">
                  <c:v>-2.4701156837496647</c:v>
                </c:pt>
                <c:pt idx="38">
                  <c:v>-2.8333604878712819</c:v>
                </c:pt>
                <c:pt idx="39">
                  <c:v>-2.8809486053584057</c:v>
                </c:pt>
                <c:pt idx="40">
                  <c:v>-2.7005685734921281</c:v>
                </c:pt>
                <c:pt idx="41">
                  <c:v>-2.3660873792867601</c:v>
                </c:pt>
                <c:pt idx="42">
                  <c:v>-1.9375504594898354</c:v>
                </c:pt>
                <c:pt idx="43">
                  <c:v>-1.4611817005821095</c:v>
                </c:pt>
                <c:pt idx="44">
                  <c:v>-0.96938343877755884</c:v>
                </c:pt>
                <c:pt idx="45">
                  <c:v>-0.48073646002338266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2B6B-469F-B80E-0DAD314D5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773344"/>
        <c:axId val="1"/>
      </c:lineChart>
      <c:catAx>
        <c:axId val="465773344"/>
        <c:scaling>
          <c:orientation val="maxMin"/>
        </c:scaling>
        <c:delete val="0"/>
        <c:axPos val="t"/>
        <c:majorGridlines>
          <c:spPr>
            <a:ln w="9525" cap="flat" cmpd="sng" algn="ctr">
              <a:noFill/>
              <a:bevel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285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700" b="0" i="0" u="none" strike="noStrike" baseline="0">
                <a:solidFill>
                  <a:schemeClr val="accent1"/>
                </a:solidFill>
                <a:latin typeface="+mn-lt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axMin"/>
        </c:scaling>
        <c:delete val="1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4657733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 b="0" i="0" u="none" strike="noStrike" baseline="0">
          <a:solidFill>
            <a:srgbClr val="333399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800" b="1" i="0" u="none" strike="noStrike" kern="1200" spc="0" baseline="0">
                <a:solidFill>
                  <a:srgbClr val="003366"/>
                </a:solidFill>
                <a:latin typeface="Calibri"/>
                <a:ea typeface="Calibri"/>
                <a:cs typeface="Calibri"/>
              </a:defRPr>
            </a:pPr>
            <a:r>
              <a:rPr lang="pt-BR" sz="1800" b="1" i="0" u="none" strike="noStrike" kern="1200" baseline="0">
                <a:solidFill>
                  <a:srgbClr val="003366"/>
                </a:solidFill>
                <a:latin typeface="Calibri"/>
                <a:ea typeface="Calibri"/>
                <a:cs typeface="Calibri"/>
              </a:rPr>
              <a:t>Momento de içamento (tf.m) - 2 pontos</a:t>
            </a:r>
          </a:p>
        </c:rich>
      </c:tx>
      <c:layout>
        <c:manualLayout>
          <c:xMode val="edge"/>
          <c:yMode val="edge"/>
          <c:x val="7.524766832214461E-3"/>
          <c:y val="2.00887899170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800" b="1" i="0" u="none" strike="noStrike" kern="1200" spc="0" baseline="0">
              <a:solidFill>
                <a:srgbClr val="003366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 pontos'!$J$6:$J$52</c:f>
              <c:strCache>
                <c:ptCount val="47"/>
                <c:pt idx="0">
                  <c:v>0,00</c:v>
                </c:pt>
                <c:pt idx="1">
                  <c:v>-0,13</c:v>
                </c:pt>
                <c:pt idx="2">
                  <c:v>-0,53</c:v>
                </c:pt>
                <c:pt idx="3">
                  <c:v>-1,19</c:v>
                </c:pt>
                <c:pt idx="4">
                  <c:v>-2,11</c:v>
                </c:pt>
                <c:pt idx="5">
                  <c:v>-3,29</c:v>
                </c:pt>
                <c:pt idx="6">
                  <c:v>-4,74</c:v>
                </c:pt>
                <c:pt idx="7">
                  <c:v>-6,45</c:v>
                </c:pt>
                <c:pt idx="8">
                  <c:v>-8,43</c:v>
                </c:pt>
                <c:pt idx="9">
                  <c:v>-10,67</c:v>
                </c:pt>
                <c:pt idx="10">
                  <c:v>-13,17</c:v>
                </c:pt>
                <c:pt idx="11">
                  <c:v>-10,15</c:v>
                </c:pt>
                <c:pt idx="12">
                  <c:v>-7,37</c:v>
                </c:pt>
                <c:pt idx="13">
                  <c:v>-4,83</c:v>
                </c:pt>
                <c:pt idx="14">
                  <c:v>-2,53</c:v>
                </c:pt>
                <c:pt idx="15">
                  <c:v>-0,48</c:v>
                </c:pt>
                <c:pt idx="16">
                  <c:v>1,34</c:v>
                </c:pt>
                <c:pt idx="17">
                  <c:v>2,91</c:v>
                </c:pt>
                <c:pt idx="18">
                  <c:v>4,24</c:v>
                </c:pt>
                <c:pt idx="19">
                  <c:v>5,33</c:v>
                </c:pt>
                <c:pt idx="20">
                  <c:v>6,17</c:v>
                </c:pt>
                <c:pt idx="21">
                  <c:v>6,78</c:v>
                </c:pt>
                <c:pt idx="22">
                  <c:v>7,14</c:v>
                </c:pt>
                <c:pt idx="23">
                  <c:v>7,26</c:v>
                </c:pt>
                <c:pt idx="24">
                  <c:v>7,14</c:v>
                </c:pt>
                <c:pt idx="25">
                  <c:v>6,78</c:v>
                </c:pt>
                <c:pt idx="26">
                  <c:v>6,17</c:v>
                </c:pt>
                <c:pt idx="27">
                  <c:v>5,33</c:v>
                </c:pt>
                <c:pt idx="28">
                  <c:v>4,24</c:v>
                </c:pt>
                <c:pt idx="29">
                  <c:v>2,91</c:v>
                </c:pt>
                <c:pt idx="30">
                  <c:v>1,34</c:v>
                </c:pt>
                <c:pt idx="31">
                  <c:v>-0,48</c:v>
                </c:pt>
                <c:pt idx="32">
                  <c:v>-2,53</c:v>
                </c:pt>
                <c:pt idx="33">
                  <c:v>-4,83</c:v>
                </c:pt>
                <c:pt idx="34">
                  <c:v>-7,37</c:v>
                </c:pt>
                <c:pt idx="35">
                  <c:v>-10,15</c:v>
                </c:pt>
                <c:pt idx="36">
                  <c:v>-13,17</c:v>
                </c:pt>
                <c:pt idx="37">
                  <c:v>-10,67</c:v>
                </c:pt>
                <c:pt idx="38">
                  <c:v>-8,43</c:v>
                </c:pt>
                <c:pt idx="39">
                  <c:v>-6,45</c:v>
                </c:pt>
                <c:pt idx="40">
                  <c:v>-4,74</c:v>
                </c:pt>
                <c:pt idx="41">
                  <c:v>-3,29</c:v>
                </c:pt>
                <c:pt idx="42">
                  <c:v>-2,11</c:v>
                </c:pt>
                <c:pt idx="43">
                  <c:v>-1,19</c:v>
                </c:pt>
                <c:pt idx="44">
                  <c:v>-0,53</c:v>
                </c:pt>
                <c:pt idx="45">
                  <c:v>-0,13</c:v>
                </c:pt>
                <c:pt idx="46">
                  <c:v>0,00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5890196387917175E-2"/>
                  <c:y val="9.04130809930346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A0-4252-965D-0C64FE314F5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9A0-4252-965D-0C64FE314F56}"/>
                </c:ext>
              </c:extLst>
            </c:dLbl>
            <c:dLbl>
              <c:idx val="2"/>
              <c:layout>
                <c:manualLayout>
                  <c:x val="-2.5851065670388463E-2"/>
                  <c:y val="-0.1205507746573795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9A0-4252-965D-0C64FE314F5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A0-4252-965D-0C64FE314F56}"/>
                </c:ext>
              </c:extLst>
            </c:dLbl>
            <c:dLbl>
              <c:idx val="4"/>
              <c:layout>
                <c:manualLayout>
                  <c:x val="-2.5851065670388463E-2"/>
                  <c:y val="-0.1205507746573795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A0-4252-965D-0C64FE314F5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9A0-4252-965D-0C64FE314F56}"/>
                </c:ext>
              </c:extLst>
            </c:dLbl>
            <c:dLbl>
              <c:idx val="6"/>
              <c:layout>
                <c:manualLayout>
                  <c:x val="-2.5851065670388463E-2"/>
                  <c:y val="-0.126578313390248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9A0-4252-965D-0C64FE314F5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9A0-4252-965D-0C64FE314F56}"/>
                </c:ext>
              </c:extLst>
            </c:dLbl>
            <c:dLbl>
              <c:idx val="8"/>
              <c:layout>
                <c:manualLayout>
                  <c:x val="-2.5851065670388543E-2"/>
                  <c:y val="-0.1145232359245105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9A0-4252-965D-0C64FE314F5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9A0-4252-965D-0C64FE314F56}"/>
                </c:ext>
              </c:extLst>
            </c:dLbl>
            <c:dLbl>
              <c:idx val="10"/>
              <c:layout>
                <c:manualLayout>
                  <c:x val="-2.5851065670388543E-2"/>
                  <c:y val="-0.1145232359245105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9A0-4252-965D-0C64FE314F56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9A0-4252-965D-0C64FE314F56}"/>
                </c:ext>
              </c:extLst>
            </c:dLbl>
            <c:dLbl>
              <c:idx val="12"/>
              <c:layout>
                <c:manualLayout>
                  <c:x val="-2.586794880783206E-2"/>
                  <c:y val="-9.04130809930346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9A0-4252-965D-0C64FE314F56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9A0-4252-965D-0C64FE314F56}"/>
                </c:ext>
              </c:extLst>
            </c:dLbl>
            <c:dLbl>
              <c:idx val="14"/>
              <c:layout>
                <c:manualLayout>
                  <c:x val="-2.58679488078319E-2"/>
                  <c:y val="-9.64406197259036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9A0-4252-965D-0C64FE314F56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9A0-4252-965D-0C64FE314F56}"/>
                </c:ext>
              </c:extLst>
            </c:dLbl>
            <c:dLbl>
              <c:idx val="16"/>
              <c:layout>
                <c:manualLayout>
                  <c:x val="-2.58679488078319E-2"/>
                  <c:y val="-8.4385542260165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9A0-4252-965D-0C64FE314F56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9A0-4252-965D-0C64FE314F56}"/>
                </c:ext>
              </c:extLst>
            </c:dLbl>
            <c:dLbl>
              <c:idx val="18"/>
              <c:layout>
                <c:manualLayout>
                  <c:x val="-2.58679488078319E-2"/>
                  <c:y val="-0.102468158458772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9A0-4252-965D-0C64FE314F56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9A0-4252-965D-0C64FE314F56}"/>
                </c:ext>
              </c:extLst>
            </c:dLbl>
            <c:dLbl>
              <c:idx val="20"/>
              <c:layout>
                <c:manualLayout>
                  <c:x val="-2.58679488078319E-2"/>
                  <c:y val="-9.64406197259035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9A0-4252-965D-0C64FE314F56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9A0-4252-965D-0C64FE314F56}"/>
                </c:ext>
              </c:extLst>
            </c:dLbl>
            <c:dLbl>
              <c:idx val="22"/>
              <c:layout>
                <c:manualLayout>
                  <c:x val="-2.58679488078319E-2"/>
                  <c:y val="0.102468158458772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9A0-4252-965D-0C64FE314F56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9A0-4252-965D-0C64FE314F56}"/>
                </c:ext>
              </c:extLst>
            </c:dLbl>
            <c:dLbl>
              <c:idx val="24"/>
              <c:layout>
                <c:manualLayout>
                  <c:x val="-2.58679488078319E-2"/>
                  <c:y val="9.04130809930346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9A0-4252-965D-0C64FE314F56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9A0-4252-965D-0C64FE314F56}"/>
                </c:ext>
              </c:extLst>
            </c:dLbl>
            <c:dLbl>
              <c:idx val="26"/>
              <c:layout>
                <c:manualLayout>
                  <c:x val="-2.58679488078319E-2"/>
                  <c:y val="8.4385542260165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9A0-4252-965D-0C64FE314F56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9A0-4252-965D-0C64FE314F56}"/>
                </c:ext>
              </c:extLst>
            </c:dLbl>
            <c:dLbl>
              <c:idx val="28"/>
              <c:layout>
                <c:manualLayout>
                  <c:x val="-2.58679488078319E-2"/>
                  <c:y val="7.83580035272966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9A0-4252-965D-0C64FE314F56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9A0-4252-965D-0C64FE314F56}"/>
                </c:ext>
              </c:extLst>
            </c:dLbl>
            <c:dLbl>
              <c:idx val="30"/>
              <c:layout>
                <c:manualLayout>
                  <c:x val="-2.58679488078319E-2"/>
                  <c:y val="9.04130809930346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9A0-4252-965D-0C64FE314F56}"/>
                </c:ext>
              </c:extLst>
            </c:dLbl>
            <c:dLbl>
              <c:idx val="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9A0-4252-965D-0C64FE314F56}"/>
                </c:ext>
              </c:extLst>
            </c:dLbl>
            <c:dLbl>
              <c:idx val="32"/>
              <c:layout>
                <c:manualLayout>
                  <c:x val="-2.58679488078319E-2"/>
                  <c:y val="7.83580035272965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9A0-4252-965D-0C64FE314F56}"/>
                </c:ext>
              </c:extLst>
            </c:dLbl>
            <c:dLbl>
              <c:idx val="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9A0-4252-965D-0C64FE314F56}"/>
                </c:ext>
              </c:extLst>
            </c:dLbl>
            <c:dLbl>
              <c:idx val="34"/>
              <c:layout>
                <c:manualLayout>
                  <c:x val="-2.58679488078319E-2"/>
                  <c:y val="7.23304647944277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9A0-4252-965D-0C64FE314F56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E9A0-4252-965D-0C64FE314F56}"/>
                </c:ext>
              </c:extLst>
            </c:dLbl>
            <c:dLbl>
              <c:idx val="36"/>
              <c:layout>
                <c:manualLayout>
                  <c:x val="-2.58679488078319E-2"/>
                  <c:y val="8.4385542260165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E9A0-4252-965D-0C64FE314F56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E9A0-4252-965D-0C64FE314F56}"/>
                </c:ext>
              </c:extLst>
            </c:dLbl>
            <c:dLbl>
              <c:idx val="38"/>
              <c:layout>
                <c:manualLayout>
                  <c:x val="-2.58679488078319E-2"/>
                  <c:y val="7.83580035272966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E9A0-4252-965D-0C64FE314F56}"/>
                </c:ext>
              </c:extLst>
            </c:dLbl>
            <c:dLbl>
              <c:idx val="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E9A0-4252-965D-0C64FE314F56}"/>
                </c:ext>
              </c:extLst>
            </c:dLbl>
            <c:dLbl>
              <c:idx val="40"/>
              <c:layout>
                <c:manualLayout>
                  <c:x val="-2.5867948807831918E-2"/>
                  <c:y val="7.83580035272965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9A0-4252-965D-0C64FE314F56}"/>
                </c:ext>
              </c:extLst>
            </c:dLbl>
            <c:dLbl>
              <c:idx val="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E9A0-4252-965D-0C64FE314F56}"/>
                </c:ext>
              </c:extLst>
            </c:dLbl>
            <c:dLbl>
              <c:idx val="42"/>
              <c:layout>
                <c:manualLayout>
                  <c:x val="-2.58679488078319E-2"/>
                  <c:y val="6.63029260615587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E9A0-4252-965D-0C64FE314F56}"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E9A0-4252-965D-0C64FE314F56}"/>
                </c:ext>
              </c:extLst>
            </c:dLbl>
            <c:dLbl>
              <c:idx val="44"/>
              <c:layout>
                <c:manualLayout>
                  <c:x val="-2.5867948807831911E-2"/>
                  <c:y val="7.83580035272966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E9A0-4252-965D-0C64FE314F56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E9A0-4252-965D-0C64FE314F56}"/>
                </c:ext>
              </c:extLst>
            </c:dLbl>
            <c:dLbl>
              <c:idx val="46"/>
              <c:layout>
                <c:manualLayout>
                  <c:x val="-2.5867948807831904E-2"/>
                  <c:y val="7.23304647944277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E9A0-4252-965D-0C64FE314F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'2 pontos'!$H$6:$H$52</c:f>
              <c:numCache>
                <c:formatCode>0</c:formatCode>
                <c:ptCount val="47"/>
                <c:pt idx="0">
                  <c:v>0</c:v>
                </c:pt>
                <c:pt idx="1">
                  <c:v>55.666666666666671</c:v>
                </c:pt>
                <c:pt idx="2">
                  <c:v>111.33333333333334</c:v>
                </c:pt>
                <c:pt idx="3">
                  <c:v>167.00000000000003</c:v>
                </c:pt>
                <c:pt idx="4">
                  <c:v>222.66666666666669</c:v>
                </c:pt>
                <c:pt idx="5">
                  <c:v>278.33333333333337</c:v>
                </c:pt>
                <c:pt idx="6">
                  <c:v>334.00000000000006</c:v>
                </c:pt>
                <c:pt idx="7">
                  <c:v>389.66666666666669</c:v>
                </c:pt>
                <c:pt idx="8">
                  <c:v>445.33333333333337</c:v>
                </c:pt>
                <c:pt idx="9">
                  <c:v>501.00000000000011</c:v>
                </c:pt>
                <c:pt idx="10">
                  <c:v>556.66666666666674</c:v>
                </c:pt>
                <c:pt idx="11">
                  <c:v>610.00000000000011</c:v>
                </c:pt>
                <c:pt idx="12">
                  <c:v>663.33333333333348</c:v>
                </c:pt>
                <c:pt idx="13">
                  <c:v>716.66666666666686</c:v>
                </c:pt>
                <c:pt idx="14">
                  <c:v>770.00000000000023</c:v>
                </c:pt>
                <c:pt idx="15">
                  <c:v>823.3333333333336</c:v>
                </c:pt>
                <c:pt idx="16">
                  <c:v>876.66666666666697</c:v>
                </c:pt>
                <c:pt idx="17">
                  <c:v>930.00000000000034</c:v>
                </c:pt>
                <c:pt idx="18">
                  <c:v>983.33333333333371</c:v>
                </c:pt>
                <c:pt idx="19">
                  <c:v>1036.666666666667</c:v>
                </c:pt>
                <c:pt idx="20">
                  <c:v>1090.0000000000002</c:v>
                </c:pt>
                <c:pt idx="21">
                  <c:v>1143.3333333333335</c:v>
                </c:pt>
                <c:pt idx="22">
                  <c:v>1196.6666666666667</c:v>
                </c:pt>
                <c:pt idx="23">
                  <c:v>1250</c:v>
                </c:pt>
                <c:pt idx="24">
                  <c:v>1303.3333333333333</c:v>
                </c:pt>
                <c:pt idx="25">
                  <c:v>1356.6666666666665</c:v>
                </c:pt>
                <c:pt idx="26">
                  <c:v>1409.9999999999998</c:v>
                </c:pt>
                <c:pt idx="27">
                  <c:v>1463.333333333333</c:v>
                </c:pt>
                <c:pt idx="28">
                  <c:v>1516.6666666666663</c:v>
                </c:pt>
                <c:pt idx="29">
                  <c:v>1569.9999999999995</c:v>
                </c:pt>
                <c:pt idx="30">
                  <c:v>1623.3333333333328</c:v>
                </c:pt>
                <c:pt idx="31">
                  <c:v>1676.6666666666661</c:v>
                </c:pt>
                <c:pt idx="32">
                  <c:v>1729.9999999999993</c:v>
                </c:pt>
                <c:pt idx="33">
                  <c:v>1783.3333333333326</c:v>
                </c:pt>
                <c:pt idx="34">
                  <c:v>1836.6666666666658</c:v>
                </c:pt>
                <c:pt idx="35">
                  <c:v>1889.9999999999991</c:v>
                </c:pt>
                <c:pt idx="36">
                  <c:v>1943.3333333333333</c:v>
                </c:pt>
                <c:pt idx="37">
                  <c:v>1999</c:v>
                </c:pt>
                <c:pt idx="38">
                  <c:v>2054.6666666666665</c:v>
                </c:pt>
                <c:pt idx="39">
                  <c:v>2110.333333333333</c:v>
                </c:pt>
                <c:pt idx="40">
                  <c:v>2165.9999999999995</c:v>
                </c:pt>
                <c:pt idx="41">
                  <c:v>2221.6666666666661</c:v>
                </c:pt>
                <c:pt idx="42">
                  <c:v>2277.3333333333326</c:v>
                </c:pt>
                <c:pt idx="43">
                  <c:v>2332.9999999999991</c:v>
                </c:pt>
                <c:pt idx="44">
                  <c:v>2388.6666666666656</c:v>
                </c:pt>
                <c:pt idx="45">
                  <c:v>2444.3333333333321</c:v>
                </c:pt>
                <c:pt idx="46">
                  <c:v>2500</c:v>
                </c:pt>
              </c:numCache>
            </c:numRef>
          </c:cat>
          <c:val>
            <c:numRef>
              <c:f>'2 pontos'!$J$6:$J$52</c:f>
              <c:numCache>
                <c:formatCode>0.00</c:formatCode>
                <c:ptCount val="47"/>
                <c:pt idx="0">
                  <c:v>0</c:v>
                </c:pt>
                <c:pt idx="1">
                  <c:v>-0.13169805555555558</c:v>
                </c:pt>
                <c:pt idx="2">
                  <c:v>-0.52679222222222233</c:v>
                </c:pt>
                <c:pt idx="3">
                  <c:v>-1.1852825000000005</c:v>
                </c:pt>
                <c:pt idx="4">
                  <c:v>-2.1071688888888893</c:v>
                </c:pt>
                <c:pt idx="5">
                  <c:v>-3.2924513888888898</c:v>
                </c:pt>
                <c:pt idx="6">
                  <c:v>-4.7411300000000018</c:v>
                </c:pt>
                <c:pt idx="7">
                  <c:v>-6.4532047222222229</c:v>
                </c:pt>
                <c:pt idx="8">
                  <c:v>-8.4286755555555573</c:v>
                </c:pt>
                <c:pt idx="9">
                  <c:v>-10.667542500000007</c:v>
                </c:pt>
                <c:pt idx="10">
                  <c:v>-13.169805555555559</c:v>
                </c:pt>
                <c:pt idx="11">
                  <c:v>-10.147583333333337</c:v>
                </c:pt>
                <c:pt idx="12">
                  <c:v>-7.3671388888888867</c:v>
                </c:pt>
                <c:pt idx="13">
                  <c:v>-4.8284722222222207</c:v>
                </c:pt>
                <c:pt idx="14">
                  <c:v>-2.5315833333333302</c:v>
                </c:pt>
                <c:pt idx="15">
                  <c:v>-0.47647222222221686</c:v>
                </c:pt>
                <c:pt idx="16">
                  <c:v>1.3368611111111193</c:v>
                </c:pt>
                <c:pt idx="17">
                  <c:v>2.9084166666666604</c:v>
                </c:pt>
                <c:pt idx="18">
                  <c:v>4.2381944444444386</c:v>
                </c:pt>
                <c:pt idx="19">
                  <c:v>5.3261944444444538</c:v>
                </c:pt>
                <c:pt idx="20">
                  <c:v>6.1724166666666704</c:v>
                </c:pt>
                <c:pt idx="21">
                  <c:v>6.7768611111110957</c:v>
                </c:pt>
                <c:pt idx="22">
                  <c:v>7.1395277777777792</c:v>
                </c:pt>
                <c:pt idx="23">
                  <c:v>7.2604166666666572</c:v>
                </c:pt>
                <c:pt idx="24">
                  <c:v>7.1395277777777579</c:v>
                </c:pt>
                <c:pt idx="25">
                  <c:v>6.7768611111111028</c:v>
                </c:pt>
                <c:pt idx="26">
                  <c:v>6.1724166666666491</c:v>
                </c:pt>
                <c:pt idx="27">
                  <c:v>5.3261944444444254</c:v>
                </c:pt>
                <c:pt idx="28">
                  <c:v>4.2381944444444599</c:v>
                </c:pt>
                <c:pt idx="29">
                  <c:v>2.9084166666666533</c:v>
                </c:pt>
                <c:pt idx="30">
                  <c:v>1.3368611111111477</c:v>
                </c:pt>
                <c:pt idx="31">
                  <c:v>-0.47647222222222751</c:v>
                </c:pt>
                <c:pt idx="32">
                  <c:v>-2.531583333333316</c:v>
                </c:pt>
                <c:pt idx="33">
                  <c:v>-4.8284722222221603</c:v>
                </c:pt>
                <c:pt idx="34">
                  <c:v>-7.3671388888888885</c:v>
                </c:pt>
                <c:pt idx="35">
                  <c:v>-10.147583333333301</c:v>
                </c:pt>
                <c:pt idx="36">
                  <c:v>-13.169805555555559</c:v>
                </c:pt>
                <c:pt idx="37">
                  <c:v>-10.6675425</c:v>
                </c:pt>
                <c:pt idx="38">
                  <c:v>-8.4286755555555608</c:v>
                </c:pt>
                <c:pt idx="39">
                  <c:v>-6.4532047222222317</c:v>
                </c:pt>
                <c:pt idx="40">
                  <c:v>-4.7411300000000134</c:v>
                </c:pt>
                <c:pt idx="41">
                  <c:v>-3.2924513888889031</c:v>
                </c:pt>
                <c:pt idx="42">
                  <c:v>-2.1071688888889031</c:v>
                </c:pt>
                <c:pt idx="43">
                  <c:v>-1.1852825000000127</c:v>
                </c:pt>
                <c:pt idx="44">
                  <c:v>-0.52679222222223221</c:v>
                </c:pt>
                <c:pt idx="45">
                  <c:v>-0.13169805555556127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9A0-4252-965D-0C64FE314F5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upDownBars>
          <c:gapWidth val="219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marker val="1"/>
        <c:smooth val="0"/>
        <c:axId val="465787432"/>
        <c:axId val="1"/>
      </c:lineChart>
      <c:catAx>
        <c:axId val="465787432"/>
        <c:scaling>
          <c:orientation val="maxMin"/>
        </c:scaling>
        <c:delete val="0"/>
        <c:axPos val="t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axMin"/>
        </c:scaling>
        <c:delete val="1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465787432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3366"/>
                </a:solidFill>
                <a:latin typeface="Calibri"/>
                <a:ea typeface="Calibri"/>
                <a:cs typeface="Calibri"/>
              </a:defRPr>
            </a:pPr>
            <a:r>
              <a:rPr lang="pt-BR"/>
              <a:t>Cortante de içamento (tf) - 2 pontos</a:t>
            </a:r>
          </a:p>
        </c:rich>
      </c:tx>
      <c:layout>
        <c:manualLayout>
          <c:xMode val="edge"/>
          <c:yMode val="edge"/>
          <c:x val="7.3554814979054327E-3"/>
          <c:y val="2.6093844892000725E-2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1.5558119255919703E-2"/>
          <c:y val="0.27623800650431446"/>
          <c:w val="0.95072635365909197"/>
          <c:h val="0.65137092210782899"/>
        </c:manualLayout>
      </c:layout>
      <c:lineChart>
        <c:grouping val="standard"/>
        <c:varyColors val="0"/>
        <c:ser>
          <c:idx val="0"/>
          <c:order val="0"/>
          <c:tx>
            <c:strRef>
              <c:f>'2 pontos'!$I$6:$I$52</c:f>
              <c:strCache>
                <c:ptCount val="47"/>
                <c:pt idx="0">
                  <c:v>0,00</c:v>
                </c:pt>
                <c:pt idx="1">
                  <c:v>0,47</c:v>
                </c:pt>
                <c:pt idx="2">
                  <c:v>0,95</c:v>
                </c:pt>
                <c:pt idx="3">
                  <c:v>1,42</c:v>
                </c:pt>
                <c:pt idx="4">
                  <c:v>1,89</c:v>
                </c:pt>
                <c:pt idx="5">
                  <c:v>2,37</c:v>
                </c:pt>
                <c:pt idx="6">
                  <c:v>2,84</c:v>
                </c:pt>
                <c:pt idx="7">
                  <c:v>3,31</c:v>
                </c:pt>
                <c:pt idx="8">
                  <c:v>3,79</c:v>
                </c:pt>
                <c:pt idx="9">
                  <c:v>4,26</c:v>
                </c:pt>
                <c:pt idx="10">
                  <c:v>-5,90</c:v>
                </c:pt>
                <c:pt idx="11">
                  <c:v>-5,45</c:v>
                </c:pt>
                <c:pt idx="12">
                  <c:v>-5,00</c:v>
                </c:pt>
                <c:pt idx="13">
                  <c:v>-4,54</c:v>
                </c:pt>
                <c:pt idx="14">
                  <c:v>-4,09</c:v>
                </c:pt>
                <c:pt idx="15">
                  <c:v>-3,64</c:v>
                </c:pt>
                <c:pt idx="16">
                  <c:v>-3,18</c:v>
                </c:pt>
                <c:pt idx="17">
                  <c:v>-2,73</c:v>
                </c:pt>
                <c:pt idx="18">
                  <c:v>-2,28</c:v>
                </c:pt>
                <c:pt idx="19">
                  <c:v>-1,82</c:v>
                </c:pt>
                <c:pt idx="20">
                  <c:v>-1,37</c:v>
                </c:pt>
                <c:pt idx="21">
                  <c:v>-0,92</c:v>
                </c:pt>
                <c:pt idx="22">
                  <c:v>-0,46</c:v>
                </c:pt>
                <c:pt idx="23">
                  <c:v>-0,01</c:v>
                </c:pt>
                <c:pt idx="24">
                  <c:v>0,44</c:v>
                </c:pt>
                <c:pt idx="25">
                  <c:v>0,90</c:v>
                </c:pt>
                <c:pt idx="26">
                  <c:v>1,35</c:v>
                </c:pt>
                <c:pt idx="27">
                  <c:v>1,80</c:v>
                </c:pt>
                <c:pt idx="28">
                  <c:v>2,26</c:v>
                </c:pt>
                <c:pt idx="29">
                  <c:v>2,71</c:v>
                </c:pt>
                <c:pt idx="30">
                  <c:v>3,16</c:v>
                </c:pt>
                <c:pt idx="31">
                  <c:v>3,62</c:v>
                </c:pt>
                <c:pt idx="32">
                  <c:v>4,07</c:v>
                </c:pt>
                <c:pt idx="33">
                  <c:v>4,52</c:v>
                </c:pt>
                <c:pt idx="34">
                  <c:v>4,98</c:v>
                </c:pt>
                <c:pt idx="35">
                  <c:v>5,43</c:v>
                </c:pt>
                <c:pt idx="36">
                  <c:v>5,88</c:v>
                </c:pt>
                <c:pt idx="37">
                  <c:v>-4,27</c:v>
                </c:pt>
                <c:pt idx="38">
                  <c:v>-3,80</c:v>
                </c:pt>
                <c:pt idx="39">
                  <c:v>-3,32</c:v>
                </c:pt>
                <c:pt idx="40">
                  <c:v>-2,85</c:v>
                </c:pt>
                <c:pt idx="41">
                  <c:v>-2,38</c:v>
                </c:pt>
                <c:pt idx="42">
                  <c:v>-1,90</c:v>
                </c:pt>
                <c:pt idx="43">
                  <c:v>-1,43</c:v>
                </c:pt>
                <c:pt idx="44">
                  <c:v>-0,96</c:v>
                </c:pt>
                <c:pt idx="45">
                  <c:v>-0,48</c:v>
                </c:pt>
                <c:pt idx="46">
                  <c:v>-0,01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 w="3175">
                <a:solidFill>
                  <a:schemeClr val="accent1"/>
                </a:solidFill>
              </a:ln>
            </c:spPr>
          </c:marker>
          <c:dLbls>
            <c:dLbl>
              <c:idx val="0"/>
              <c:layout>
                <c:manualLayout>
                  <c:x val="-3.2448700617982572E-2"/>
                  <c:y val="7.0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04-4EE3-BDBA-3B6900F813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004-4EE3-BDBA-3B6900F81325}"/>
                </c:ext>
              </c:extLst>
            </c:dLbl>
            <c:dLbl>
              <c:idx val="2"/>
              <c:layout>
                <c:manualLayout>
                  <c:x val="-4.2084524639004348E-2"/>
                  <c:y val="7.49652777777777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04-4EE3-BDBA-3B6900F8132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04-4EE3-BDBA-3B6900F81325}"/>
                </c:ext>
              </c:extLst>
            </c:dLbl>
            <c:dLbl>
              <c:idx val="4"/>
              <c:layout>
                <c:manualLayout>
                  <c:x val="-5.0955912978397563E-2"/>
                  <c:y val="7.84559339962725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04-4EE3-BDBA-3B6900F8132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004-4EE3-BDBA-3B6900F81325}"/>
                </c:ext>
              </c:extLst>
            </c:dLbl>
            <c:dLbl>
              <c:idx val="6"/>
              <c:layout>
                <c:manualLayout>
                  <c:x val="-5.0955912978397716E-2"/>
                  <c:y val="9.05260776880067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04-4EE3-BDBA-3B6900F8132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04-4EE3-BDBA-3B6900F8132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04-4EE3-BDBA-3B6900F81325}"/>
                </c:ext>
              </c:extLst>
            </c:dLbl>
            <c:dLbl>
              <c:idx val="9"/>
              <c:layout>
                <c:manualLayout>
                  <c:x val="-5.0955912978397716E-2"/>
                  <c:y val="6.63857903045382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004-4EE3-BDBA-3B6900F8132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04-4EE3-BDBA-3B6900F81325}"/>
                </c:ext>
              </c:extLst>
            </c:dLbl>
            <c:dLbl>
              <c:idx val="11"/>
              <c:layout>
                <c:manualLayout>
                  <c:x val="-3.23595502776306E-2"/>
                  <c:y val="-5.732638888888889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04-4EE3-BDBA-3B6900F8132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04-4EE3-BDBA-3B6900F81325}"/>
                </c:ext>
              </c:extLst>
            </c:dLbl>
            <c:dLbl>
              <c:idx val="13"/>
              <c:layout>
                <c:manualLayout>
                  <c:x val="-4.2084524639004466E-2"/>
                  <c:y val="-3.96875000000000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004-4EE3-BDBA-3B6900F8132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004-4EE3-BDBA-3B6900F81325}"/>
                </c:ext>
              </c:extLst>
            </c:dLbl>
            <c:dLbl>
              <c:idx val="15"/>
              <c:layout>
                <c:manualLayout>
                  <c:x val="-4.2084524639004348E-2"/>
                  <c:y val="-4.409722222222222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004-4EE3-BDBA-3B6900F8132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004-4EE3-BDBA-3B6900F81325}"/>
                </c:ext>
              </c:extLst>
            </c:dLbl>
            <c:dLbl>
              <c:idx val="17"/>
              <c:layout>
                <c:manualLayout>
                  <c:x val="-4.208452463900441E-2"/>
                  <c:y val="-4.409722222222222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004-4EE3-BDBA-3B6900F8132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004-4EE3-BDBA-3B6900F81325}"/>
                </c:ext>
              </c:extLst>
            </c:dLbl>
            <c:dLbl>
              <c:idx val="19"/>
              <c:layout>
                <c:manualLayout>
                  <c:x val="-4.2084435275758898E-2"/>
                  <c:y val="-5.01457446090651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004-4EE3-BDBA-3B6900F81325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004-4EE3-BDBA-3B6900F81325}"/>
                </c:ext>
              </c:extLst>
            </c:dLbl>
            <c:dLbl>
              <c:idx val="21"/>
              <c:layout>
                <c:manualLayout>
                  <c:x val="-3.9943076963284134E-2"/>
                  <c:y val="-5.57146427950271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004-4EE3-BDBA-3B6900F8132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004-4EE3-BDBA-3B6900F81325}"/>
                </c:ext>
              </c:extLst>
            </c:dLbl>
            <c:dLbl>
              <c:idx val="23"/>
              <c:layout>
                <c:manualLayout>
                  <c:x val="-4.2084435275758975E-2"/>
                  <c:y val="-5.29304313032999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004-4EE3-BDBA-3B6900F8132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004-4EE3-BDBA-3B6900F81325}"/>
                </c:ext>
              </c:extLst>
            </c:dLbl>
            <c:dLbl>
              <c:idx val="25"/>
              <c:layout>
                <c:manualLayout>
                  <c:x val="-5.0955912978397563E-2"/>
                  <c:y val="-4.22455029210698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004-4EE3-BDBA-3B6900F81325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004-4EE3-BDBA-3B6900F81325}"/>
                </c:ext>
              </c:extLst>
            </c:dLbl>
            <c:dLbl>
              <c:idx val="27"/>
              <c:layout>
                <c:manualLayout>
                  <c:x val="-5.0955912978397563E-2"/>
                  <c:y val="-4.22455029210698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4004-4EE3-BDBA-3B6900F8132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004-4EE3-BDBA-3B6900F81325}"/>
                </c:ext>
              </c:extLst>
            </c:dLbl>
            <c:dLbl>
              <c:idx val="29"/>
              <c:layout>
                <c:manualLayout>
                  <c:x val="-5.0955912978397598E-2"/>
                  <c:y val="-5.43156466128041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4004-4EE3-BDBA-3B6900F81325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004-4EE3-BDBA-3B6900F81325}"/>
                </c:ext>
              </c:extLst>
            </c:dLbl>
            <c:dLbl>
              <c:idx val="31"/>
              <c:layout>
                <c:manualLayout>
                  <c:x val="-5.0955912978397563E-2"/>
                  <c:y val="-4.22455029210698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4004-4EE3-BDBA-3B6900F81325}"/>
                </c:ext>
              </c:extLst>
            </c:dLbl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004-4EE3-BDBA-3B6900F81325}"/>
                </c:ext>
              </c:extLst>
            </c:dLbl>
            <c:dLbl>
              <c:idx val="33"/>
              <c:layout>
                <c:manualLayout>
                  <c:x val="-4.4531822354937731E-2"/>
                  <c:y val="-4.82805747669369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4004-4EE3-BDBA-3B6900F81325}"/>
                </c:ext>
              </c:extLst>
            </c:dLbl>
            <c:dLbl>
              <c:idx val="34"/>
              <c:layout>
                <c:manualLayout>
                  <c:x val="-5.3097255604836774E-2"/>
                  <c:y val="8.4491005842139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4004-4EE3-BDBA-3B6900F81325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4004-4EE3-BDBA-3B6900F81325}"/>
                </c:ext>
              </c:extLst>
            </c:dLbl>
            <c:dLbl>
              <c:idx val="36"/>
              <c:layout>
                <c:manualLayout>
                  <c:x val="-4.6367151900708455E-2"/>
                  <c:y val="9.02861004216945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4004-4EE3-BDBA-3B6900F81325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4004-4EE3-BDBA-3B6900F81325}"/>
                </c:ext>
              </c:extLst>
            </c:dLbl>
            <c:dLbl>
              <c:idx val="38"/>
              <c:layout>
                <c:manualLayout>
                  <c:x val="-5.0955912978397563E-2"/>
                  <c:y val="8.4491005842139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4004-4EE3-BDBA-3B6900F81325}"/>
                </c:ext>
              </c:extLst>
            </c:dLbl>
            <c:dLbl>
              <c:idx val="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4004-4EE3-BDBA-3B6900F81325}"/>
                </c:ext>
              </c:extLst>
            </c:dLbl>
            <c:dLbl>
              <c:idx val="40"/>
              <c:layout>
                <c:manualLayout>
                  <c:x val="-5.0955912978397563E-2"/>
                  <c:y val="8.44910058421397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4004-4EE3-BDBA-3B6900F81325}"/>
                </c:ext>
              </c:extLst>
            </c:dLbl>
            <c:dLbl>
              <c:idx val="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4004-4EE3-BDBA-3B6900F81325}"/>
                </c:ext>
              </c:extLst>
            </c:dLbl>
            <c:dLbl>
              <c:idx val="42"/>
              <c:layout>
                <c:manualLayout>
                  <c:x val="-4.8811758610088227E-2"/>
                  <c:y val="8.44910058421395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4004-4EE3-BDBA-3B6900F81325}"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4004-4EE3-BDBA-3B6900F81325}"/>
                </c:ext>
              </c:extLst>
            </c:dLbl>
            <c:dLbl>
              <c:idx val="44"/>
              <c:layout>
                <c:manualLayout>
                  <c:x val="-4.2084516487280857E-2"/>
                  <c:y val="7.54317452382331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4004-4EE3-BDBA-3B6900F81325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4004-4EE3-BDBA-3B6900F81325}"/>
                </c:ext>
              </c:extLst>
            </c:dLbl>
            <c:dLbl>
              <c:idx val="46"/>
              <c:layout>
                <c:manualLayout>
                  <c:x val="-3.9940362118971527E-2"/>
                  <c:y val="6.17359337681754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4004-4EE3-BDBA-3B6900F81325}"/>
                </c:ext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t" anchorCtr="0">
                <a:spAutoFit/>
              </a:bodyPr>
              <a:lstStyle/>
              <a:p>
                <a:pPr algn="ctr">
                  <a:defRPr lang="en-US"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numRef>
              <c:f>'2 pontos'!$H$6:$H$52</c:f>
              <c:numCache>
                <c:formatCode>0</c:formatCode>
                <c:ptCount val="47"/>
                <c:pt idx="0">
                  <c:v>0</c:v>
                </c:pt>
                <c:pt idx="1">
                  <c:v>55.666666666666671</c:v>
                </c:pt>
                <c:pt idx="2">
                  <c:v>111.33333333333334</c:v>
                </c:pt>
                <c:pt idx="3">
                  <c:v>167.00000000000003</c:v>
                </c:pt>
                <c:pt idx="4">
                  <c:v>222.66666666666669</c:v>
                </c:pt>
                <c:pt idx="5">
                  <c:v>278.33333333333337</c:v>
                </c:pt>
                <c:pt idx="6">
                  <c:v>334.00000000000006</c:v>
                </c:pt>
                <c:pt idx="7">
                  <c:v>389.66666666666669</c:v>
                </c:pt>
                <c:pt idx="8">
                  <c:v>445.33333333333337</c:v>
                </c:pt>
                <c:pt idx="9">
                  <c:v>501.00000000000011</c:v>
                </c:pt>
                <c:pt idx="10">
                  <c:v>556.66666666666674</c:v>
                </c:pt>
                <c:pt idx="11">
                  <c:v>610.00000000000011</c:v>
                </c:pt>
                <c:pt idx="12">
                  <c:v>663.33333333333348</c:v>
                </c:pt>
                <c:pt idx="13">
                  <c:v>716.66666666666686</c:v>
                </c:pt>
                <c:pt idx="14">
                  <c:v>770.00000000000023</c:v>
                </c:pt>
                <c:pt idx="15">
                  <c:v>823.3333333333336</c:v>
                </c:pt>
                <c:pt idx="16">
                  <c:v>876.66666666666697</c:v>
                </c:pt>
                <c:pt idx="17">
                  <c:v>930.00000000000034</c:v>
                </c:pt>
                <c:pt idx="18">
                  <c:v>983.33333333333371</c:v>
                </c:pt>
                <c:pt idx="19">
                  <c:v>1036.666666666667</c:v>
                </c:pt>
                <c:pt idx="20">
                  <c:v>1090.0000000000002</c:v>
                </c:pt>
                <c:pt idx="21">
                  <c:v>1143.3333333333335</c:v>
                </c:pt>
                <c:pt idx="22">
                  <c:v>1196.6666666666667</c:v>
                </c:pt>
                <c:pt idx="23">
                  <c:v>1250</c:v>
                </c:pt>
                <c:pt idx="24">
                  <c:v>1303.3333333333333</c:v>
                </c:pt>
                <c:pt idx="25">
                  <c:v>1356.6666666666665</c:v>
                </c:pt>
                <c:pt idx="26">
                  <c:v>1409.9999999999998</c:v>
                </c:pt>
                <c:pt idx="27">
                  <c:v>1463.333333333333</c:v>
                </c:pt>
                <c:pt idx="28">
                  <c:v>1516.6666666666663</c:v>
                </c:pt>
                <c:pt idx="29">
                  <c:v>1569.9999999999995</c:v>
                </c:pt>
                <c:pt idx="30">
                  <c:v>1623.3333333333328</c:v>
                </c:pt>
                <c:pt idx="31">
                  <c:v>1676.6666666666661</c:v>
                </c:pt>
                <c:pt idx="32">
                  <c:v>1729.9999999999993</c:v>
                </c:pt>
                <c:pt idx="33">
                  <c:v>1783.3333333333326</c:v>
                </c:pt>
                <c:pt idx="34">
                  <c:v>1836.6666666666658</c:v>
                </c:pt>
                <c:pt idx="35">
                  <c:v>1889.9999999999991</c:v>
                </c:pt>
                <c:pt idx="36">
                  <c:v>1943.3333333333333</c:v>
                </c:pt>
                <c:pt idx="37">
                  <c:v>1999</c:v>
                </c:pt>
                <c:pt idx="38">
                  <c:v>2054.6666666666665</c:v>
                </c:pt>
                <c:pt idx="39">
                  <c:v>2110.333333333333</c:v>
                </c:pt>
                <c:pt idx="40">
                  <c:v>2165.9999999999995</c:v>
                </c:pt>
                <c:pt idx="41">
                  <c:v>2221.6666666666661</c:v>
                </c:pt>
                <c:pt idx="42">
                  <c:v>2277.3333333333326</c:v>
                </c:pt>
                <c:pt idx="43">
                  <c:v>2332.9999999999991</c:v>
                </c:pt>
                <c:pt idx="44">
                  <c:v>2388.6666666666656</c:v>
                </c:pt>
                <c:pt idx="45">
                  <c:v>2444.3333333333321</c:v>
                </c:pt>
                <c:pt idx="46">
                  <c:v>2500</c:v>
                </c:pt>
              </c:numCache>
            </c:numRef>
          </c:cat>
          <c:val>
            <c:numRef>
              <c:f>'2 pontos'!$I$6:$I$52</c:f>
              <c:numCache>
                <c:formatCode>0.00</c:formatCode>
                <c:ptCount val="47"/>
                <c:pt idx="0">
                  <c:v>0</c:v>
                </c:pt>
                <c:pt idx="1">
                  <c:v>0.47316666666666674</c:v>
                </c:pt>
                <c:pt idx="2">
                  <c:v>0.94633333333333347</c:v>
                </c:pt>
                <c:pt idx="3">
                  <c:v>1.4195000000000002</c:v>
                </c:pt>
                <c:pt idx="4">
                  <c:v>1.8926666666666669</c:v>
                </c:pt>
                <c:pt idx="5">
                  <c:v>2.3658333333333337</c:v>
                </c:pt>
                <c:pt idx="6">
                  <c:v>2.8390000000000004</c:v>
                </c:pt>
                <c:pt idx="7">
                  <c:v>3.3121666666666667</c:v>
                </c:pt>
                <c:pt idx="8">
                  <c:v>3.7853333333333339</c:v>
                </c:pt>
                <c:pt idx="9">
                  <c:v>4.2585000000000015</c:v>
                </c:pt>
                <c:pt idx="10">
                  <c:v>-5.9039583333333328</c:v>
                </c:pt>
                <c:pt idx="11">
                  <c:v>-5.4506249999999987</c:v>
                </c:pt>
                <c:pt idx="12">
                  <c:v>-4.9972916666666656</c:v>
                </c:pt>
                <c:pt idx="13">
                  <c:v>-4.5439583333333324</c:v>
                </c:pt>
                <c:pt idx="14">
                  <c:v>-4.0906249999999993</c:v>
                </c:pt>
                <c:pt idx="15">
                  <c:v>-3.6372916666666657</c:v>
                </c:pt>
                <c:pt idx="16">
                  <c:v>-3.1839583333333321</c:v>
                </c:pt>
                <c:pt idx="17">
                  <c:v>-2.7306249999999985</c:v>
                </c:pt>
                <c:pt idx="18">
                  <c:v>-2.2772916666666649</c:v>
                </c:pt>
                <c:pt idx="19">
                  <c:v>-1.8239583333333322</c:v>
                </c:pt>
                <c:pt idx="20">
                  <c:v>-1.3706249999999995</c:v>
                </c:pt>
                <c:pt idx="21">
                  <c:v>-0.91729166666666684</c:v>
                </c:pt>
                <c:pt idx="22">
                  <c:v>-0.46395833333333414</c:v>
                </c:pt>
                <c:pt idx="23">
                  <c:v>-1.0625000000001439E-2</c:v>
                </c:pt>
                <c:pt idx="24">
                  <c:v>0.44270833333333126</c:v>
                </c:pt>
                <c:pt idx="25">
                  <c:v>0.89604166666666396</c:v>
                </c:pt>
                <c:pt idx="26">
                  <c:v>1.3493749999999967</c:v>
                </c:pt>
                <c:pt idx="27">
                  <c:v>1.8027083333333294</c:v>
                </c:pt>
                <c:pt idx="28">
                  <c:v>2.2560416666666621</c:v>
                </c:pt>
                <c:pt idx="29">
                  <c:v>2.7093749999999948</c:v>
                </c:pt>
                <c:pt idx="30">
                  <c:v>3.1627083333333275</c:v>
                </c:pt>
                <c:pt idx="31">
                  <c:v>3.6160416666666602</c:v>
                </c:pt>
                <c:pt idx="32">
                  <c:v>4.0693749999999929</c:v>
                </c:pt>
                <c:pt idx="33">
                  <c:v>4.5227083333333251</c:v>
                </c:pt>
                <c:pt idx="34">
                  <c:v>4.9760416666666583</c:v>
                </c:pt>
                <c:pt idx="35">
                  <c:v>5.4293749999999914</c:v>
                </c:pt>
                <c:pt idx="36">
                  <c:v>5.8827083333333317</c:v>
                </c:pt>
                <c:pt idx="37">
                  <c:v>-4.2691250000000007</c:v>
                </c:pt>
                <c:pt idx="38">
                  <c:v>-3.7959583333333353</c:v>
                </c:pt>
                <c:pt idx="39">
                  <c:v>-3.3227916666666699</c:v>
                </c:pt>
                <c:pt idx="40">
                  <c:v>-2.8496250000000045</c:v>
                </c:pt>
                <c:pt idx="41">
                  <c:v>-2.3764583333333391</c:v>
                </c:pt>
                <c:pt idx="42">
                  <c:v>-1.9032916666666737</c:v>
                </c:pt>
                <c:pt idx="43">
                  <c:v>-1.4301250000000083</c:v>
                </c:pt>
                <c:pt idx="44">
                  <c:v>-0.9569583333333429</c:v>
                </c:pt>
                <c:pt idx="45">
                  <c:v>-0.48379166666667744</c:v>
                </c:pt>
                <c:pt idx="46">
                  <c:v>-1.0625000000000551E-2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004-4EE3-BDBA-3B6900F81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202"/>
          <c:upBars/>
          <c:downBars/>
        </c:upDownBars>
        <c:marker val="1"/>
        <c:smooth val="0"/>
        <c:axId val="465785464"/>
        <c:axId val="1"/>
      </c:lineChart>
      <c:catAx>
        <c:axId val="465785464"/>
        <c:scaling>
          <c:orientation val="maxMin"/>
        </c:scaling>
        <c:delete val="0"/>
        <c:axPos val="t"/>
        <c:majorGridlines>
          <c:spPr>
            <a:ln w="9525" cap="flat" cmpd="sng" algn="ctr">
              <a:noFill/>
              <a:bevel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285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700" b="0" i="0" u="none" strike="noStrike" baseline="0">
                <a:solidFill>
                  <a:schemeClr val="accent1"/>
                </a:solidFill>
                <a:latin typeface="+mn-lt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axMin"/>
        </c:scaling>
        <c:delete val="1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465785464"/>
        <c:crossesAt val="0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 b="0" i="0" u="none" strike="noStrike" baseline="0">
          <a:solidFill>
            <a:srgbClr val="333399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3366"/>
                </a:solidFill>
                <a:latin typeface="Calibri"/>
                <a:ea typeface="Calibri"/>
                <a:cs typeface="Calibri"/>
              </a:defRPr>
            </a:pPr>
            <a:r>
              <a:rPr lang="pt-BR"/>
              <a:t>Deformação no içamento (mm) - 2 pontos</a:t>
            </a:r>
          </a:p>
        </c:rich>
      </c:tx>
      <c:layout>
        <c:manualLayout>
          <c:xMode val="edge"/>
          <c:yMode val="edge"/>
          <c:x val="6.661816293376208E-3"/>
          <c:y val="2.7489159741966543E-2"/>
        </c:manualLayout>
      </c:layout>
      <c:overlay val="0"/>
      <c:spPr>
        <a:noFill/>
        <a:ln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 pontos'!$K$6:$K$52</c:f>
              <c:strCache>
                <c:ptCount val="47"/>
                <c:pt idx="0">
                  <c:v>6,83</c:v>
                </c:pt>
                <c:pt idx="1">
                  <c:v>5,87</c:v>
                </c:pt>
                <c:pt idx="2">
                  <c:v>4,92</c:v>
                </c:pt>
                <c:pt idx="3">
                  <c:v>3,98</c:v>
                </c:pt>
                <c:pt idx="4">
                  <c:v>3,07</c:v>
                </c:pt>
                <c:pt idx="5">
                  <c:v>2,21</c:v>
                </c:pt>
                <c:pt idx="6">
                  <c:v>1,44</c:v>
                </c:pt>
                <c:pt idx="7">
                  <c:v>0,79</c:v>
                </c:pt>
                <c:pt idx="8">
                  <c:v>0,29</c:v>
                </c:pt>
                <c:pt idx="9">
                  <c:v>0,01</c:v>
                </c:pt>
                <c:pt idx="10">
                  <c:v>0,00</c:v>
                </c:pt>
                <c:pt idx="11">
                  <c:v>0,27</c:v>
                </c:pt>
                <c:pt idx="12">
                  <c:v>0,78</c:v>
                </c:pt>
                <c:pt idx="13">
                  <c:v>1,46</c:v>
                </c:pt>
                <c:pt idx="14">
                  <c:v>2,24</c:v>
                </c:pt>
                <c:pt idx="15">
                  <c:v>3,09</c:v>
                </c:pt>
                <c:pt idx="16">
                  <c:v>3,95</c:v>
                </c:pt>
                <c:pt idx="17">
                  <c:v>4,77</c:v>
                </c:pt>
                <c:pt idx="18">
                  <c:v>5,54</c:v>
                </c:pt>
                <c:pt idx="19">
                  <c:v>6,20</c:v>
                </c:pt>
                <c:pt idx="20">
                  <c:v>6,74</c:v>
                </c:pt>
                <c:pt idx="21">
                  <c:v>7,14</c:v>
                </c:pt>
                <c:pt idx="22">
                  <c:v>7,39</c:v>
                </c:pt>
                <c:pt idx="23">
                  <c:v>7,47</c:v>
                </c:pt>
                <c:pt idx="24">
                  <c:v>7,39</c:v>
                </c:pt>
                <c:pt idx="25">
                  <c:v>7,14</c:v>
                </c:pt>
                <c:pt idx="26">
                  <c:v>6,74</c:v>
                </c:pt>
                <c:pt idx="27">
                  <c:v>6,20</c:v>
                </c:pt>
                <c:pt idx="28">
                  <c:v>5,54</c:v>
                </c:pt>
                <c:pt idx="29">
                  <c:v>4,77</c:v>
                </c:pt>
                <c:pt idx="30">
                  <c:v>3,95</c:v>
                </c:pt>
                <c:pt idx="31">
                  <c:v>3,09</c:v>
                </c:pt>
                <c:pt idx="32">
                  <c:v>2,24</c:v>
                </c:pt>
                <c:pt idx="33">
                  <c:v>1,46</c:v>
                </c:pt>
                <c:pt idx="34">
                  <c:v>0,78</c:v>
                </c:pt>
                <c:pt idx="35">
                  <c:v>0,27</c:v>
                </c:pt>
                <c:pt idx="36">
                  <c:v>0,00</c:v>
                </c:pt>
                <c:pt idx="37">
                  <c:v>0,01</c:v>
                </c:pt>
                <c:pt idx="38">
                  <c:v>0,29</c:v>
                </c:pt>
                <c:pt idx="39">
                  <c:v>0,79</c:v>
                </c:pt>
                <c:pt idx="40">
                  <c:v>1,44</c:v>
                </c:pt>
                <c:pt idx="41">
                  <c:v>2,21</c:v>
                </c:pt>
                <c:pt idx="42">
                  <c:v>3,07</c:v>
                </c:pt>
                <c:pt idx="43">
                  <c:v>3,98</c:v>
                </c:pt>
                <c:pt idx="44">
                  <c:v>4,92</c:v>
                </c:pt>
                <c:pt idx="45">
                  <c:v>5,87</c:v>
                </c:pt>
                <c:pt idx="46">
                  <c:v>6,83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ln w="3175"/>
            </c:spPr>
          </c:marker>
          <c:dLbls>
            <c:dLbl>
              <c:idx val="0"/>
              <c:layout>
                <c:manualLayout>
                  <c:x val="-8.5808535145267262E-3"/>
                  <c:y val="-8.42670402600240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AA-4CC0-A733-0DD1F9231D9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1AA-4CC0-A733-0DD1F9231D9D}"/>
                </c:ext>
              </c:extLst>
            </c:dLbl>
            <c:dLbl>
              <c:idx val="2"/>
              <c:layout>
                <c:manualLayout>
                  <c:x val="0"/>
                  <c:y val="-0.1003389165381886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AA-4CC0-A733-0DD1F9231D9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AA-4CC0-A733-0DD1F9231D9D}"/>
                </c:ext>
              </c:extLst>
            </c:dLbl>
            <c:dLbl>
              <c:idx val="4"/>
              <c:layout>
                <c:manualLayout>
                  <c:x val="0"/>
                  <c:y val="-9.02861145643114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AA-4CC0-A733-0DD1F9231D9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1AA-4CC0-A733-0DD1F9231D9D}"/>
                </c:ext>
              </c:extLst>
            </c:dLbl>
            <c:dLbl>
              <c:idx val="6"/>
              <c:layout>
                <c:manualLayout>
                  <c:x val="-1.5731383046352968E-16"/>
                  <c:y val="-9.63051888685989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AA-4CC0-A733-0DD1F9231D9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AA-4CC0-A733-0DD1F9231D9D}"/>
                </c:ext>
              </c:extLst>
            </c:dLbl>
            <c:dLbl>
              <c:idx val="8"/>
              <c:layout>
                <c:manualLayout>
                  <c:x val="0"/>
                  <c:y val="-0.1203814860857485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AA-4CC0-A733-0DD1F9231D9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1AA-4CC0-A733-0DD1F9231D9D}"/>
                </c:ext>
              </c:extLst>
            </c:dLbl>
            <c:dLbl>
              <c:idx val="10"/>
              <c:layout>
                <c:manualLayout>
                  <c:x val="-1.1640075718219239E-16"/>
                  <c:y val="4.67974341740658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AA-4CC0-A733-0DD1F9231D9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AA-4CC0-A733-0DD1F9231D9D}"/>
                </c:ext>
              </c:extLst>
            </c:dLbl>
            <c:dLbl>
              <c:idx val="12"/>
              <c:layout>
                <c:manualLayout>
                  <c:x val="-1.1640075718219239E-16"/>
                  <c:y val="5.14771775914724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AA-4CC0-A733-0DD1F9231D9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1AA-4CC0-A733-0DD1F9231D9D}"/>
                </c:ext>
              </c:extLst>
            </c:dLbl>
            <c:dLbl>
              <c:idx val="14"/>
              <c:layout>
                <c:manualLayout>
                  <c:x val="0"/>
                  <c:y val="4.67974341740658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1AA-4CC0-A733-0DD1F9231D9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1AA-4CC0-A733-0DD1F9231D9D}"/>
                </c:ext>
              </c:extLst>
            </c:dLbl>
            <c:dLbl>
              <c:idx val="16"/>
              <c:layout>
                <c:manualLayout>
                  <c:x val="0"/>
                  <c:y val="5.14771775914724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1AA-4CC0-A733-0DD1F9231D9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1AA-4CC0-A733-0DD1F9231D9D}"/>
                </c:ext>
              </c:extLst>
            </c:dLbl>
            <c:dLbl>
              <c:idx val="18"/>
              <c:layout>
                <c:manualLayout>
                  <c:x val="0"/>
                  <c:y val="4.21176907566590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1AA-4CC0-A733-0DD1F9231D9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1AA-4CC0-A733-0DD1F9231D9D}"/>
                </c:ext>
              </c:extLst>
            </c:dLbl>
            <c:dLbl>
              <c:idx val="20"/>
              <c:layout>
                <c:manualLayout>
                  <c:x val="0"/>
                  <c:y val="6.55164389450220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1AA-4CC0-A733-0DD1F9231D9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1AA-4CC0-A733-0DD1F9231D9D}"/>
                </c:ext>
              </c:extLst>
            </c:dLbl>
            <c:dLbl>
              <c:idx val="22"/>
              <c:layout>
                <c:manualLayout>
                  <c:x val="0"/>
                  <c:y val="6.55164078436921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31AA-4CC0-A733-0DD1F9231D9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31AA-4CC0-A733-0DD1F9231D9D}"/>
                </c:ext>
              </c:extLst>
            </c:dLbl>
            <c:dLbl>
              <c:idx val="24"/>
              <c:layout>
                <c:manualLayout>
                  <c:x val="0"/>
                  <c:y val="4.815259443429932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31AA-4CC0-A733-0DD1F9231D9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31AA-4CC0-A733-0DD1F9231D9D}"/>
                </c:ext>
              </c:extLst>
            </c:dLbl>
            <c:dLbl>
              <c:idx val="26"/>
              <c:layout>
                <c:manualLayout>
                  <c:x val="-7.8656915231764838E-17"/>
                  <c:y val="4.81525944342994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1AA-4CC0-A733-0DD1F9231D9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31AA-4CC0-A733-0DD1F9231D9D}"/>
                </c:ext>
              </c:extLst>
            </c:dLbl>
            <c:dLbl>
              <c:idx val="28"/>
              <c:layout>
                <c:manualLayout>
                  <c:x val="0"/>
                  <c:y val="4.81525944342992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31AA-4CC0-A733-0DD1F9231D9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31AA-4CC0-A733-0DD1F9231D9D}"/>
                </c:ext>
              </c:extLst>
            </c:dLbl>
            <c:dLbl>
              <c:idx val="30"/>
              <c:layout>
                <c:manualLayout>
                  <c:x val="-7.8656915231764838E-17"/>
                  <c:y val="6.01907430428742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1AA-4CC0-A733-0DD1F9231D9D}"/>
                </c:ext>
              </c:extLst>
            </c:dLbl>
            <c:dLbl>
              <c:idx val="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31AA-4CC0-A733-0DD1F9231D9D}"/>
                </c:ext>
              </c:extLst>
            </c:dLbl>
            <c:dLbl>
              <c:idx val="32"/>
              <c:layout>
                <c:manualLayout>
                  <c:x val="0"/>
                  <c:y val="6.01907430428742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31AA-4CC0-A733-0DD1F9231D9D}"/>
                </c:ext>
              </c:extLst>
            </c:dLbl>
            <c:dLbl>
              <c:idx val="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31AA-4CC0-A733-0DD1F9231D9D}"/>
                </c:ext>
              </c:extLst>
            </c:dLbl>
            <c:dLbl>
              <c:idx val="34"/>
              <c:layout>
                <c:manualLayout>
                  <c:x val="-3.9328457615882419E-17"/>
                  <c:y val="6.6209817347161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31AA-4CC0-A733-0DD1F9231D9D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31AA-4CC0-A733-0DD1F9231D9D}"/>
                </c:ext>
              </c:extLst>
            </c:dLbl>
            <c:dLbl>
              <c:idx val="36"/>
              <c:layout>
                <c:manualLayout>
                  <c:x val="-3.9328457615882419E-17"/>
                  <c:y val="6.15144654469588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31AA-4CC0-A733-0DD1F9231D9D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31AA-4CC0-A733-0DD1F9231D9D}"/>
                </c:ext>
              </c:extLst>
            </c:dLbl>
            <c:dLbl>
              <c:idx val="38"/>
              <c:layout>
                <c:manualLayout>
                  <c:x val="0"/>
                  <c:y val="9.02861145643113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31AA-4CC0-A733-0DD1F9231D9D}"/>
                </c:ext>
              </c:extLst>
            </c:dLbl>
            <c:dLbl>
              <c:idx val="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31AA-4CC0-A733-0DD1F9231D9D}"/>
                </c:ext>
              </c:extLst>
            </c:dLbl>
            <c:dLbl>
              <c:idx val="40"/>
              <c:layout>
                <c:manualLayout>
                  <c:x val="-3.9328457615882419E-17"/>
                  <c:y val="0.1203814860857484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31AA-4CC0-A733-0DD1F9231D9D}"/>
                </c:ext>
              </c:extLst>
            </c:dLbl>
            <c:dLbl>
              <c:idx val="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31AA-4CC0-A733-0DD1F9231D9D}"/>
                </c:ext>
              </c:extLst>
            </c:dLbl>
            <c:dLbl>
              <c:idx val="42"/>
              <c:layout>
                <c:manualLayout>
                  <c:x val="0"/>
                  <c:y val="0.1264005603900360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31AA-4CC0-A733-0DD1F9231D9D}"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31AA-4CC0-A733-0DD1F9231D9D}"/>
                </c:ext>
              </c:extLst>
            </c:dLbl>
            <c:dLbl>
              <c:idx val="44"/>
              <c:layout>
                <c:manualLayout>
                  <c:x val="-1.9664228807941209E-17"/>
                  <c:y val="0.142409402268006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31AA-4CC0-A733-0DD1F9231D9D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31AA-4CC0-A733-0DD1F9231D9D}"/>
                </c:ext>
              </c:extLst>
            </c:dLbl>
            <c:dLbl>
              <c:idx val="46"/>
              <c:layout>
                <c:manualLayout>
                  <c:x val="-1.5016493650421771E-2"/>
                  <c:y val="0.150429463321325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31AA-4CC0-A733-0DD1F9231D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poly"/>
            <c:order val="6"/>
            <c:dispRSqr val="0"/>
            <c:dispEq val="0"/>
          </c:trendline>
          <c:cat>
            <c:numRef>
              <c:f>'2 pontos'!$H$6:$H$52</c:f>
              <c:numCache>
                <c:formatCode>0</c:formatCode>
                <c:ptCount val="47"/>
                <c:pt idx="0">
                  <c:v>0</c:v>
                </c:pt>
                <c:pt idx="1">
                  <c:v>55.666666666666671</c:v>
                </c:pt>
                <c:pt idx="2">
                  <c:v>111.33333333333334</c:v>
                </c:pt>
                <c:pt idx="3">
                  <c:v>167.00000000000003</c:v>
                </c:pt>
                <c:pt idx="4">
                  <c:v>222.66666666666669</c:v>
                </c:pt>
                <c:pt idx="5">
                  <c:v>278.33333333333337</c:v>
                </c:pt>
                <c:pt idx="6">
                  <c:v>334.00000000000006</c:v>
                </c:pt>
                <c:pt idx="7">
                  <c:v>389.66666666666669</c:v>
                </c:pt>
                <c:pt idx="8">
                  <c:v>445.33333333333337</c:v>
                </c:pt>
                <c:pt idx="9">
                  <c:v>501.00000000000011</c:v>
                </c:pt>
                <c:pt idx="10">
                  <c:v>556.66666666666674</c:v>
                </c:pt>
                <c:pt idx="11">
                  <c:v>610.00000000000011</c:v>
                </c:pt>
                <c:pt idx="12">
                  <c:v>663.33333333333348</c:v>
                </c:pt>
                <c:pt idx="13">
                  <c:v>716.66666666666686</c:v>
                </c:pt>
                <c:pt idx="14">
                  <c:v>770.00000000000023</c:v>
                </c:pt>
                <c:pt idx="15">
                  <c:v>823.3333333333336</c:v>
                </c:pt>
                <c:pt idx="16">
                  <c:v>876.66666666666697</c:v>
                </c:pt>
                <c:pt idx="17">
                  <c:v>930.00000000000034</c:v>
                </c:pt>
                <c:pt idx="18">
                  <c:v>983.33333333333371</c:v>
                </c:pt>
                <c:pt idx="19">
                  <c:v>1036.666666666667</c:v>
                </c:pt>
                <c:pt idx="20">
                  <c:v>1090.0000000000002</c:v>
                </c:pt>
                <c:pt idx="21">
                  <c:v>1143.3333333333335</c:v>
                </c:pt>
                <c:pt idx="22">
                  <c:v>1196.6666666666667</c:v>
                </c:pt>
                <c:pt idx="23">
                  <c:v>1250</c:v>
                </c:pt>
                <c:pt idx="24">
                  <c:v>1303.3333333333333</c:v>
                </c:pt>
                <c:pt idx="25">
                  <c:v>1356.6666666666665</c:v>
                </c:pt>
                <c:pt idx="26">
                  <c:v>1409.9999999999998</c:v>
                </c:pt>
                <c:pt idx="27">
                  <c:v>1463.333333333333</c:v>
                </c:pt>
                <c:pt idx="28">
                  <c:v>1516.6666666666663</c:v>
                </c:pt>
                <c:pt idx="29">
                  <c:v>1569.9999999999995</c:v>
                </c:pt>
                <c:pt idx="30">
                  <c:v>1623.3333333333328</c:v>
                </c:pt>
                <c:pt idx="31">
                  <c:v>1676.6666666666661</c:v>
                </c:pt>
                <c:pt idx="32">
                  <c:v>1729.9999999999993</c:v>
                </c:pt>
                <c:pt idx="33">
                  <c:v>1783.3333333333326</c:v>
                </c:pt>
                <c:pt idx="34">
                  <c:v>1836.6666666666658</c:v>
                </c:pt>
                <c:pt idx="35">
                  <c:v>1889.9999999999991</c:v>
                </c:pt>
                <c:pt idx="36">
                  <c:v>1943.3333333333333</c:v>
                </c:pt>
                <c:pt idx="37">
                  <c:v>1999</c:v>
                </c:pt>
                <c:pt idx="38">
                  <c:v>2054.6666666666665</c:v>
                </c:pt>
                <c:pt idx="39">
                  <c:v>2110.333333333333</c:v>
                </c:pt>
                <c:pt idx="40">
                  <c:v>2165.9999999999995</c:v>
                </c:pt>
                <c:pt idx="41">
                  <c:v>2221.6666666666661</c:v>
                </c:pt>
                <c:pt idx="42">
                  <c:v>2277.3333333333326</c:v>
                </c:pt>
                <c:pt idx="43">
                  <c:v>2332.9999999999991</c:v>
                </c:pt>
                <c:pt idx="44">
                  <c:v>2388.6666666666656</c:v>
                </c:pt>
                <c:pt idx="45">
                  <c:v>2444.3333333333321</c:v>
                </c:pt>
                <c:pt idx="46">
                  <c:v>2500</c:v>
                </c:pt>
              </c:numCache>
            </c:numRef>
          </c:cat>
          <c:val>
            <c:numRef>
              <c:f>'2 pontos'!$K$6:$K$52</c:f>
              <c:numCache>
                <c:formatCode>0.00</c:formatCode>
                <c:ptCount val="47"/>
                <c:pt idx="0">
                  <c:v>6.8260855218069372</c:v>
                </c:pt>
                <c:pt idx="1">
                  <c:v>5.8694919184061742</c:v>
                </c:pt>
                <c:pt idx="2">
                  <c:v>4.9167379453528559</c:v>
                </c:pt>
                <c:pt idx="3">
                  <c:v>3.9776969378260492</c:v>
                </c:pt>
                <c:pt idx="4">
                  <c:v>3.0688244544576126</c:v>
                </c:pt>
                <c:pt idx="5">
                  <c:v>2.2131582773321195</c:v>
                </c:pt>
                <c:pt idx="6">
                  <c:v>1.4403184119868613</c:v>
                </c:pt>
                <c:pt idx="7">
                  <c:v>0.78650708741187614</c:v>
                </c:pt>
                <c:pt idx="8">
                  <c:v>0.29450875604994836</c:v>
                </c:pt>
                <c:pt idx="9">
                  <c:v>1.3690093796573485E-2</c:v>
                </c:pt>
                <c:pt idx="10">
                  <c:v>0</c:v>
                </c:pt>
                <c:pt idx="11">
                  <c:v>0.27355820725734381</c:v>
                </c:pt>
                <c:pt idx="12">
                  <c:v>0.78035175386843492</c:v>
                </c:pt>
                <c:pt idx="13">
                  <c:v>1.4566006408496894</c:v>
                </c:pt>
                <c:pt idx="14">
                  <c:v>2.2440709560856624</c:v>
                </c:pt>
                <c:pt idx="15">
                  <c:v>3.0900748743290438</c:v>
                </c:pt>
                <c:pt idx="16">
                  <c:v>3.9474706572006641</c:v>
                </c:pt>
                <c:pt idx="17">
                  <c:v>4.7746626531894893</c:v>
                </c:pt>
                <c:pt idx="18">
                  <c:v>5.535601297652625</c:v>
                </c:pt>
                <c:pt idx="19">
                  <c:v>6.1997831128153162</c:v>
                </c:pt>
                <c:pt idx="20">
                  <c:v>6.7422507077709373</c:v>
                </c:pt>
                <c:pt idx="21">
                  <c:v>7.143592778481012</c:v>
                </c:pt>
                <c:pt idx="22">
                  <c:v>7.3899441077751957</c:v>
                </c:pt>
                <c:pt idx="23">
                  <c:v>7.4729855653512756</c:v>
                </c:pt>
                <c:pt idx="24">
                  <c:v>7.3899441077751939</c:v>
                </c:pt>
                <c:pt idx="25">
                  <c:v>7.1435927784810112</c:v>
                </c:pt>
                <c:pt idx="26">
                  <c:v>6.7422507077709373</c:v>
                </c:pt>
                <c:pt idx="27">
                  <c:v>6.1997831128153162</c:v>
                </c:pt>
                <c:pt idx="28">
                  <c:v>5.5356012976526259</c:v>
                </c:pt>
                <c:pt idx="29">
                  <c:v>4.774662653189492</c:v>
                </c:pt>
                <c:pt idx="30">
                  <c:v>3.9474706572006668</c:v>
                </c:pt>
                <c:pt idx="31">
                  <c:v>3.0900748743290487</c:v>
                </c:pt>
                <c:pt idx="32">
                  <c:v>2.2440709560856709</c:v>
                </c:pt>
                <c:pt idx="33">
                  <c:v>1.4566006408496983</c:v>
                </c:pt>
                <c:pt idx="34">
                  <c:v>0.7803517538684428</c:v>
                </c:pt>
                <c:pt idx="35">
                  <c:v>0.27355820725735008</c:v>
                </c:pt>
                <c:pt idx="36">
                  <c:v>0</c:v>
                </c:pt>
                <c:pt idx="37">
                  <c:v>1.3690093796574234E-2</c:v>
                </c:pt>
                <c:pt idx="38">
                  <c:v>0.2945087560499452</c:v>
                </c:pt>
                <c:pt idx="39">
                  <c:v>0.78650708741187692</c:v>
                </c:pt>
                <c:pt idx="40">
                  <c:v>1.4403184119868502</c:v>
                </c:pt>
                <c:pt idx="41">
                  <c:v>2.2131582773321075</c:v>
                </c:pt>
                <c:pt idx="42">
                  <c:v>3.0688244544576104</c:v>
                </c:pt>
                <c:pt idx="43">
                  <c:v>3.9776969378260354</c:v>
                </c:pt>
                <c:pt idx="44">
                  <c:v>4.9167379453528381</c:v>
                </c:pt>
                <c:pt idx="45">
                  <c:v>5.8694919184061591</c:v>
                </c:pt>
                <c:pt idx="46">
                  <c:v>6.8260855218069372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1AA-4CC0-A733-0DD1F9231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773344"/>
        <c:axId val="1"/>
      </c:lineChart>
      <c:catAx>
        <c:axId val="465773344"/>
        <c:scaling>
          <c:orientation val="maxMin"/>
        </c:scaling>
        <c:delete val="0"/>
        <c:axPos val="t"/>
        <c:majorGridlines>
          <c:spPr>
            <a:ln w="9525" cap="flat" cmpd="sng" algn="ctr">
              <a:noFill/>
              <a:bevel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285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700" b="0" i="0" u="none" strike="noStrike" baseline="0">
                <a:solidFill>
                  <a:schemeClr val="accent1"/>
                </a:solidFill>
                <a:latin typeface="+mn-lt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axMin"/>
        </c:scaling>
        <c:delete val="1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4657733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 b="0" i="0" u="none" strike="noStrike" baseline="0">
          <a:solidFill>
            <a:srgbClr val="333399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1 ponto'!A1"/><Relationship Id="rId2" Type="http://schemas.openxmlformats.org/officeDocument/2006/relationships/hyperlink" Target="#'2 pontos'!A1"/><Relationship Id="rId1" Type="http://schemas.openxmlformats.org/officeDocument/2006/relationships/hyperlink" Target="#In&#237;cio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13" Type="http://schemas.openxmlformats.org/officeDocument/2006/relationships/image" Target="../media/image7.svg"/><Relationship Id="rId3" Type="http://schemas.openxmlformats.org/officeDocument/2006/relationships/chart" Target="../charts/chart2.xml"/><Relationship Id="rId7" Type="http://schemas.openxmlformats.org/officeDocument/2006/relationships/hyperlink" Target="#'1 ponto'!A1"/><Relationship Id="rId12" Type="http://schemas.openxmlformats.org/officeDocument/2006/relationships/image" Target="../media/image6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hyperlink" Target="#'2 pontos'!A1"/><Relationship Id="rId11" Type="http://schemas.openxmlformats.org/officeDocument/2006/relationships/image" Target="../media/image5.svg"/><Relationship Id="rId5" Type="http://schemas.openxmlformats.org/officeDocument/2006/relationships/hyperlink" Target="#In&#237;cio!A1"/><Relationship Id="rId10" Type="http://schemas.openxmlformats.org/officeDocument/2006/relationships/image" Target="../media/image4.png"/><Relationship Id="rId4" Type="http://schemas.openxmlformats.org/officeDocument/2006/relationships/chart" Target="../charts/chart3.xml"/><Relationship Id="rId9" Type="http://schemas.openxmlformats.org/officeDocument/2006/relationships/image" Target="../media/image3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chart" Target="../charts/chart6.xml"/><Relationship Id="rId7" Type="http://schemas.openxmlformats.org/officeDocument/2006/relationships/hyperlink" Target="#'1 ponto'!A1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hyperlink" Target="#'2 pontos'!A1"/><Relationship Id="rId11" Type="http://schemas.openxmlformats.org/officeDocument/2006/relationships/image" Target="../media/image7.svg"/><Relationship Id="rId5" Type="http://schemas.openxmlformats.org/officeDocument/2006/relationships/hyperlink" Target="#In&#237;cio!A1"/><Relationship Id="rId10" Type="http://schemas.openxmlformats.org/officeDocument/2006/relationships/image" Target="../media/image6.png"/><Relationship Id="rId4" Type="http://schemas.openxmlformats.org/officeDocument/2006/relationships/image" Target="../media/image8.png"/><Relationship Id="rId9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377533</xdr:colOff>
      <xdr:row>0</xdr:row>
      <xdr:rowOff>190499</xdr:rowOff>
    </xdr:from>
    <xdr:to>
      <xdr:col>11</xdr:col>
      <xdr:colOff>381159</xdr:colOff>
      <xdr:row>1</xdr:row>
      <xdr:rowOff>248399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77533" y="190499"/>
          <a:ext cx="5415558" cy="248400"/>
          <a:chOff x="377533" y="190499"/>
          <a:chExt cx="5415558" cy="248400"/>
        </a:xfrm>
      </xdr:grpSpPr>
      <xdr:sp macro="" textlink="">
        <xdr:nvSpPr>
          <xdr:cNvPr id="9" name="Rectangle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377533" y="190500"/>
            <a:ext cx="753201" cy="247650"/>
          </a:xfrm>
          <a:prstGeom prst="rect">
            <a:avLst/>
          </a:prstGeom>
          <a:solidFill>
            <a:schemeClr val="accent6">
              <a:lumMod val="60000"/>
              <a:lumOff val="40000"/>
              <a:alpha val="50000"/>
            </a:schemeClr>
          </a:solidFill>
          <a:ln w="6350"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ysClr val="windowText" lastClr="000000"/>
                </a:solidFill>
              </a:rPr>
              <a:t>INÍCIO</a:t>
            </a:r>
            <a:endParaRPr lang="pt-BR" sz="1200" b="1">
              <a:solidFill>
                <a:sysClr val="windowText" lastClr="000000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0" name="Rectangle 2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505624" y="190499"/>
            <a:ext cx="2287467" cy="248400"/>
          </a:xfrm>
          <a:prstGeom prst="rect">
            <a:avLst/>
          </a:prstGeom>
          <a:solidFill>
            <a:schemeClr val="bg1">
              <a:lumMod val="75000"/>
              <a:alpha val="50000"/>
            </a:schemeClr>
          </a:solidFill>
          <a:ln w="635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ysClr val="windowText" lastClr="000000"/>
                </a:solidFill>
              </a:rPr>
              <a:t>IÇAMENTO POR 2 PONTOS</a:t>
            </a:r>
          </a:p>
        </xdr:txBody>
      </xdr:sp>
      <xdr:sp macro="" textlink="">
        <xdr:nvSpPr>
          <xdr:cNvPr id="11" name="Rectangle 22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181440" y="190500"/>
            <a:ext cx="2286435" cy="247650"/>
          </a:xfrm>
          <a:prstGeom prst="rect">
            <a:avLst/>
          </a:prstGeom>
          <a:solidFill>
            <a:schemeClr val="bg1">
              <a:lumMod val="75000"/>
              <a:alpha val="50000"/>
            </a:schemeClr>
          </a:solidFill>
          <a:ln w="635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IÇAMENTO POR 1 PONTO</a:t>
            </a:r>
            <a:endParaRPr lang="pt-BR" sz="1600" b="1">
              <a:solidFill>
                <a:sysClr val="windowText" lastClr="000000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951379</xdr:colOff>
      <xdr:row>12</xdr:row>
      <xdr:rowOff>78751</xdr:rowOff>
    </xdr:from>
    <xdr:to>
      <xdr:col>5</xdr:col>
      <xdr:colOff>1046067</xdr:colOff>
      <xdr:row>18</xdr:row>
      <xdr:rowOff>198888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1379" y="2593351"/>
          <a:ext cx="4552388" cy="1282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78441</xdr:colOff>
      <xdr:row>20</xdr:row>
      <xdr:rowOff>44823</xdr:rowOff>
    </xdr:from>
    <xdr:to>
      <xdr:col>6</xdr:col>
      <xdr:colOff>1042147</xdr:colOff>
      <xdr:row>51</xdr:row>
      <xdr:rowOff>126416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459441" y="4071300"/>
          <a:ext cx="6548820" cy="6402730"/>
          <a:chOff x="16948" y="266619"/>
          <a:chExt cx="6299010" cy="6648240"/>
        </a:xfrm>
        <a:noFill/>
      </xdr:grpSpPr>
      <xdr:graphicFrame macro="">
        <xdr:nvGraphicFramePr>
          <xdr:cNvPr id="13" name="Chart 1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GraphicFramePr>
            <a:graphicFrameLocks/>
          </xdr:cNvGraphicFramePr>
        </xdr:nvGraphicFramePr>
        <xdr:xfrm>
          <a:off x="16949" y="266619"/>
          <a:ext cx="6299009" cy="21069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4" name="Chart 1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aphicFramePr>
            <a:graphicFrameLocks/>
          </xdr:cNvGraphicFramePr>
        </xdr:nvGraphicFramePr>
        <xdr:xfrm>
          <a:off x="16949" y="2537737"/>
          <a:ext cx="6299009" cy="21043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5" name="Chart 1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GraphicFramePr>
            <a:graphicFrameLocks/>
          </xdr:cNvGraphicFramePr>
        </xdr:nvGraphicFramePr>
        <xdr:xfrm>
          <a:off x="16948" y="4804900"/>
          <a:ext cx="6299009" cy="21099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0</xdr:colOff>
      <xdr:row>1</xdr:row>
      <xdr:rowOff>0</xdr:rowOff>
    </xdr:from>
    <xdr:to>
      <xdr:col>5</xdr:col>
      <xdr:colOff>947467</xdr:colOff>
      <xdr:row>1</xdr:row>
      <xdr:rowOff>248400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381000" y="190500"/>
          <a:ext cx="5415558" cy="248400"/>
          <a:chOff x="381000" y="190500"/>
          <a:chExt cx="5415558" cy="248400"/>
        </a:xfrm>
      </xdr:grpSpPr>
      <xdr:sp macro="" textlink="">
        <xdr:nvSpPr>
          <xdr:cNvPr id="16" name="Rectangle 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381000" y="190501"/>
            <a:ext cx="753201" cy="247650"/>
          </a:xfrm>
          <a:prstGeom prst="rect">
            <a:avLst/>
          </a:prstGeom>
          <a:solidFill>
            <a:schemeClr val="bg1">
              <a:lumMod val="75000"/>
              <a:alpha val="50000"/>
            </a:schemeClr>
          </a:solidFill>
          <a:ln w="6350"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ysClr val="windowText" lastClr="000000"/>
                </a:solidFill>
              </a:rPr>
              <a:t>INÍCIO</a:t>
            </a:r>
            <a:endParaRPr lang="pt-BR" sz="1200" b="1">
              <a:solidFill>
                <a:sysClr val="windowText" lastClr="000000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7" name="Rectangle 2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>
            <a:off x="3509091" y="190500"/>
            <a:ext cx="2287467" cy="248400"/>
          </a:xfrm>
          <a:prstGeom prst="rect">
            <a:avLst/>
          </a:prstGeom>
          <a:solidFill>
            <a:schemeClr val="bg1">
              <a:lumMod val="75000"/>
              <a:alpha val="50000"/>
            </a:schemeClr>
          </a:solidFill>
          <a:ln w="635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ysClr val="windowText" lastClr="000000"/>
                </a:solidFill>
              </a:rPr>
              <a:t>IÇAMENTO POR 2 PONTOS</a:t>
            </a:r>
          </a:p>
        </xdr:txBody>
      </xdr:sp>
      <xdr:sp macro="" textlink="">
        <xdr:nvSpPr>
          <xdr:cNvPr id="18" name="Rectangle 2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1184907" y="190501"/>
            <a:ext cx="2286435" cy="247650"/>
          </a:xfrm>
          <a:prstGeom prst="rect">
            <a:avLst/>
          </a:prstGeom>
          <a:solidFill>
            <a:schemeClr val="accent6">
              <a:lumMod val="60000"/>
              <a:lumOff val="40000"/>
              <a:alpha val="50000"/>
            </a:schemeClr>
          </a:solidFill>
          <a:ln w="635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IÇAMENTO POR 1 PONTO</a:t>
            </a:r>
            <a:endParaRPr lang="pt-BR" sz="1600" b="1">
              <a:solidFill>
                <a:sysClr val="windowText" lastClr="000000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11</xdr:col>
      <xdr:colOff>198315</xdr:colOff>
      <xdr:row>22</xdr:row>
      <xdr:rowOff>157994</xdr:rowOff>
    </xdr:from>
    <xdr:to>
      <xdr:col>11</xdr:col>
      <xdr:colOff>558315</xdr:colOff>
      <xdr:row>24</xdr:row>
      <xdr:rowOff>41744</xdr:rowOff>
    </xdr:to>
    <xdr:pic>
      <xdr:nvPicPr>
        <xdr:cNvPr id="20" name="Gráfico 54">
          <a:extLst>
            <a:ext uri="{FF2B5EF4-FFF2-40B4-BE49-F238E27FC236}">
              <a16:creationId xmlns:a16="http://schemas.microsoft.com/office/drawing/2014/main" id="{ACDF5160-05AA-46D0-AD7D-A99E85029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0513890" y="4653794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209550</xdr:colOff>
      <xdr:row>18</xdr:row>
      <xdr:rowOff>228600</xdr:rowOff>
    </xdr:from>
    <xdr:to>
      <xdr:col>13</xdr:col>
      <xdr:colOff>860700</xdr:colOff>
      <xdr:row>21</xdr:row>
      <xdr:rowOff>225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AB69B9E9-FAE1-ACF7-3C80-9853B8220F72}"/>
            </a:ext>
          </a:extLst>
        </xdr:cNvPr>
        <xdr:cNvGrpSpPr/>
      </xdr:nvGrpSpPr>
      <xdr:grpSpPr>
        <a:xfrm>
          <a:off x="10539845" y="3770168"/>
          <a:ext cx="2885196" cy="498989"/>
          <a:chOff x="10525125" y="3771900"/>
          <a:chExt cx="2880000" cy="486000"/>
        </a:xfrm>
      </xdr:grpSpPr>
      <xdr:sp macro="[0]!Equilibra_momento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2249C370-1601-4F8A-86AF-F1954649B39A}"/>
              </a:ext>
            </a:extLst>
          </xdr:cNvPr>
          <xdr:cNvSpPr/>
        </xdr:nvSpPr>
        <xdr:spPr>
          <a:xfrm>
            <a:off x="10525125" y="3771900"/>
            <a:ext cx="2880000" cy="486000"/>
          </a:xfrm>
          <a:prstGeom prst="roundRect">
            <a:avLst/>
          </a:prstGeom>
          <a:solidFill>
            <a:srgbClr val="002060"/>
          </a:solidFill>
          <a:ln w="19050">
            <a:noFill/>
          </a:ln>
          <a:effectLst>
            <a:outerShdw blurRad="50800" dist="38100" dir="2700000" algn="tl" rotWithShape="0">
              <a:srgbClr val="002060">
                <a:alpha val="40000"/>
              </a:srgbClr>
            </a:outerShdw>
          </a:effectLst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1200" b="1">
                <a:solidFill>
                  <a:schemeClr val="bg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EQUILIBRAR MOMENTOS !</a:t>
            </a:r>
          </a:p>
        </xdr:txBody>
      </xdr:sp>
      <xdr:pic macro="[0]!Equilibra_momento">
        <xdr:nvPicPr>
          <xdr:cNvPr id="24" name="Gráfico 10" descr="Gráfico periódico com preenchimento sólido">
            <a:extLst>
              <a:ext uri="{FF2B5EF4-FFF2-40B4-BE49-F238E27FC236}">
                <a16:creationId xmlns:a16="http://schemas.microsoft.com/office/drawing/2014/main" id="{A3C55697-93B1-45AB-E21D-F9BB742032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0602289" y="3776811"/>
            <a:ext cx="460319" cy="46031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219075</xdr:colOff>
      <xdr:row>21</xdr:row>
      <xdr:rowOff>104775</xdr:rowOff>
    </xdr:from>
    <xdr:to>
      <xdr:col>13</xdr:col>
      <xdr:colOff>870225</xdr:colOff>
      <xdr:row>23</xdr:row>
      <xdr:rowOff>114525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D2A67157-0A1F-084F-A7D8-5BE6CE45349D}"/>
            </a:ext>
          </a:extLst>
        </xdr:cNvPr>
        <xdr:cNvGrpSpPr/>
      </xdr:nvGrpSpPr>
      <xdr:grpSpPr>
        <a:xfrm>
          <a:off x="10549370" y="4373707"/>
          <a:ext cx="2885196" cy="494659"/>
          <a:chOff x="10506075" y="5029200"/>
          <a:chExt cx="2880000" cy="486000"/>
        </a:xfrm>
      </xdr:grpSpPr>
      <xdr:sp macro="[0]!EncontrarMelhorRelacao" textlink="">
        <xdr:nvSpPr>
          <xdr:cNvPr id="35" name="Retângulo: Cantos Arredondados 34">
            <a:extLst>
              <a:ext uri="{FF2B5EF4-FFF2-40B4-BE49-F238E27FC236}">
                <a16:creationId xmlns:a16="http://schemas.microsoft.com/office/drawing/2014/main" id="{165EC9F0-D1F5-8721-079C-8FC6C3B4A38A}"/>
              </a:ext>
            </a:extLst>
          </xdr:cNvPr>
          <xdr:cNvSpPr/>
        </xdr:nvSpPr>
        <xdr:spPr>
          <a:xfrm>
            <a:off x="10506075" y="5029200"/>
            <a:ext cx="2880000" cy="486000"/>
          </a:xfrm>
          <a:prstGeom prst="roundRect">
            <a:avLst/>
          </a:prstGeom>
          <a:solidFill>
            <a:srgbClr val="002060"/>
          </a:solidFill>
          <a:ln w="19050">
            <a:noFill/>
          </a:ln>
          <a:effectLst>
            <a:outerShdw blurRad="50800" dist="38100" dir="2700000" algn="tl" rotWithShape="0">
              <a:srgbClr val="002060">
                <a:alpha val="40000"/>
              </a:srgbClr>
            </a:outerShdw>
          </a:effectLst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1200" b="1">
                <a:solidFill>
                  <a:schemeClr val="bg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MINIMIZAR COTA E FCJ !</a:t>
            </a:r>
          </a:p>
        </xdr:txBody>
      </xdr:sp>
      <xdr:pic macro="[0]!EncontrarMelhorRelacao">
        <xdr:nvPicPr>
          <xdr:cNvPr id="36" name="Gráfico 26" descr="Minimizar com preenchimento sólido">
            <a:extLst>
              <a:ext uri="{FF2B5EF4-FFF2-40B4-BE49-F238E27FC236}">
                <a16:creationId xmlns:a16="http://schemas.microsoft.com/office/drawing/2014/main" id="{8B578503-BACA-397D-0646-AF7FFF14AD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0583239" y="5083843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20</xdr:row>
      <xdr:rowOff>142525</xdr:rowOff>
    </xdr:from>
    <xdr:to>
      <xdr:col>6</xdr:col>
      <xdr:colOff>997324</xdr:colOff>
      <xdr:row>52</xdr:row>
      <xdr:rowOff>33618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14618" y="4169002"/>
          <a:ext cx="6548820" cy="6369112"/>
          <a:chOff x="16948" y="266619"/>
          <a:chExt cx="6299010" cy="6648240"/>
        </a:xfrm>
        <a:noFill/>
      </xdr:grpSpPr>
      <xdr:graphicFrame macro="">
        <xdr:nvGraphicFramePr>
          <xdr:cNvPr id="7" name="Chart 1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GraphicFramePr>
            <a:graphicFrameLocks/>
          </xdr:cNvGraphicFramePr>
        </xdr:nvGraphicFramePr>
        <xdr:xfrm>
          <a:off x="16949" y="266619"/>
          <a:ext cx="6299009" cy="21069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GraphicFramePr>
            <a:graphicFrameLocks/>
          </xdr:cNvGraphicFramePr>
        </xdr:nvGraphicFramePr>
        <xdr:xfrm>
          <a:off x="16949" y="2537737"/>
          <a:ext cx="6299009" cy="21043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9" name="Chart 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GraphicFramePr>
            <a:graphicFrameLocks/>
          </xdr:cNvGraphicFramePr>
        </xdr:nvGraphicFramePr>
        <xdr:xfrm>
          <a:off x="16948" y="4804900"/>
          <a:ext cx="6299009" cy="21099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 editAs="oneCell">
    <xdr:from>
      <xdr:col>1</xdr:col>
      <xdr:colOff>56030</xdr:colOff>
      <xdr:row>12</xdr:row>
      <xdr:rowOff>38099</xdr:rowOff>
    </xdr:from>
    <xdr:to>
      <xdr:col>6</xdr:col>
      <xdr:colOff>799846</xdr:colOff>
      <xdr:row>18</xdr:row>
      <xdr:rowOff>200024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30" y="2559423"/>
          <a:ext cx="6290728" cy="13273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1</xdr:row>
      <xdr:rowOff>0</xdr:rowOff>
    </xdr:from>
    <xdr:to>
      <xdr:col>5</xdr:col>
      <xdr:colOff>947467</xdr:colOff>
      <xdr:row>1</xdr:row>
      <xdr:rowOff>248400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381000" y="190500"/>
          <a:ext cx="5415558" cy="248400"/>
          <a:chOff x="381000" y="190500"/>
          <a:chExt cx="5415558" cy="248400"/>
        </a:xfrm>
      </xdr:grpSpPr>
      <xdr:sp macro="" textlink="">
        <xdr:nvSpPr>
          <xdr:cNvPr id="12" name="Rectangle 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/>
        </xdr:nvSpPr>
        <xdr:spPr>
          <a:xfrm>
            <a:off x="381000" y="190501"/>
            <a:ext cx="753201" cy="247650"/>
          </a:xfrm>
          <a:prstGeom prst="rect">
            <a:avLst/>
          </a:prstGeom>
          <a:solidFill>
            <a:schemeClr val="bg1">
              <a:lumMod val="75000"/>
              <a:alpha val="50000"/>
            </a:schemeClr>
          </a:solidFill>
          <a:ln w="6350"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ysClr val="windowText" lastClr="000000"/>
                </a:solidFill>
              </a:rPr>
              <a:t>INÍCIO</a:t>
            </a:r>
            <a:endParaRPr lang="pt-BR" sz="1200" b="1">
              <a:solidFill>
                <a:sysClr val="windowText" lastClr="000000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3" name="Rectangle 2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3509091" y="190500"/>
            <a:ext cx="2287467" cy="248400"/>
          </a:xfrm>
          <a:prstGeom prst="rect">
            <a:avLst/>
          </a:prstGeom>
          <a:solidFill>
            <a:schemeClr val="accent6">
              <a:lumMod val="60000"/>
              <a:lumOff val="40000"/>
              <a:alpha val="50000"/>
            </a:schemeClr>
          </a:solidFill>
          <a:ln w="635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ysClr val="windowText" lastClr="000000"/>
                </a:solidFill>
              </a:rPr>
              <a:t>IÇAMENTO POR 2 PONTOS</a:t>
            </a:r>
          </a:p>
        </xdr:txBody>
      </xdr:sp>
      <xdr:sp macro="" textlink="">
        <xdr:nvSpPr>
          <xdr:cNvPr id="18" name="Rectangle 2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1184907" y="190501"/>
            <a:ext cx="2286435" cy="247650"/>
          </a:xfrm>
          <a:prstGeom prst="rect">
            <a:avLst/>
          </a:prstGeom>
          <a:solidFill>
            <a:schemeClr val="bg1">
              <a:lumMod val="75000"/>
              <a:alpha val="50000"/>
            </a:schemeClr>
          </a:solidFill>
          <a:ln w="635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IÇAMENTO POR 1 PONTO</a:t>
            </a:r>
            <a:endParaRPr lang="pt-BR" sz="1600" b="1">
              <a:solidFill>
                <a:sysClr val="windowText" lastClr="000000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329044</xdr:colOff>
      <xdr:row>21</xdr:row>
      <xdr:rowOff>69273</xdr:rowOff>
    </xdr:from>
    <xdr:to>
      <xdr:col>13</xdr:col>
      <xdr:colOff>974998</xdr:colOff>
      <xdr:row>23</xdr:row>
      <xdr:rowOff>70364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AD06387F-C6F2-429F-BEFE-59E91C517169}"/>
            </a:ext>
          </a:extLst>
        </xdr:cNvPr>
        <xdr:cNvGrpSpPr/>
      </xdr:nvGrpSpPr>
      <xdr:grpSpPr>
        <a:xfrm>
          <a:off x="10659339" y="4338205"/>
          <a:ext cx="2880000" cy="486000"/>
          <a:chOff x="10525125" y="3771900"/>
          <a:chExt cx="2880000" cy="486000"/>
        </a:xfrm>
      </xdr:grpSpPr>
      <xdr:sp macro="[0]!Equilibra_momento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5C6E2560-BFA5-194F-F315-66897422E4EC}"/>
              </a:ext>
            </a:extLst>
          </xdr:cNvPr>
          <xdr:cNvSpPr/>
        </xdr:nvSpPr>
        <xdr:spPr>
          <a:xfrm>
            <a:off x="10525125" y="3771900"/>
            <a:ext cx="2880000" cy="486000"/>
          </a:xfrm>
          <a:prstGeom prst="roundRect">
            <a:avLst/>
          </a:prstGeom>
          <a:solidFill>
            <a:srgbClr val="002060"/>
          </a:solidFill>
          <a:ln w="19050">
            <a:noFill/>
          </a:ln>
          <a:effectLst>
            <a:outerShdw blurRad="50800" dist="38100" dir="2700000" algn="tl" rotWithShape="0">
              <a:srgbClr val="002060">
                <a:alpha val="40000"/>
              </a:srgbClr>
            </a:outerShdw>
          </a:effectLst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1200" b="1">
                <a:solidFill>
                  <a:schemeClr val="bg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EQUILIBRAR MOMENTOS !</a:t>
            </a:r>
          </a:p>
        </xdr:txBody>
      </xdr:sp>
      <xdr:pic macro="[0]!Equilibra_momento">
        <xdr:nvPicPr>
          <xdr:cNvPr id="5" name="Gráfico 10" descr="Gráfico periódico com preenchimento sólido">
            <a:extLst>
              <a:ext uri="{FF2B5EF4-FFF2-40B4-BE49-F238E27FC236}">
                <a16:creationId xmlns:a16="http://schemas.microsoft.com/office/drawing/2014/main" id="{8930D52A-1007-D4AD-6F29-7EE7458F90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0602289" y="3776811"/>
            <a:ext cx="460319" cy="46031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338569</xdr:colOff>
      <xdr:row>23</xdr:row>
      <xdr:rowOff>174914</xdr:rowOff>
    </xdr:from>
    <xdr:to>
      <xdr:col>13</xdr:col>
      <xdr:colOff>984523</xdr:colOff>
      <xdr:row>25</xdr:row>
      <xdr:rowOff>176005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3488431E-5C92-48DF-ADAF-D9596D25A3FB}"/>
            </a:ext>
          </a:extLst>
        </xdr:cNvPr>
        <xdr:cNvGrpSpPr/>
      </xdr:nvGrpSpPr>
      <xdr:grpSpPr>
        <a:xfrm>
          <a:off x="10668864" y="4928755"/>
          <a:ext cx="2880000" cy="486000"/>
          <a:chOff x="10506075" y="5029200"/>
          <a:chExt cx="2880000" cy="486000"/>
        </a:xfrm>
      </xdr:grpSpPr>
      <xdr:sp macro="[0]!EncontrarMelhorRelacao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D1D9985C-E2A9-ECE1-AD97-6B97D5421FC7}"/>
              </a:ext>
            </a:extLst>
          </xdr:cNvPr>
          <xdr:cNvSpPr/>
        </xdr:nvSpPr>
        <xdr:spPr>
          <a:xfrm>
            <a:off x="10506075" y="5029200"/>
            <a:ext cx="2880000" cy="486000"/>
          </a:xfrm>
          <a:prstGeom prst="roundRect">
            <a:avLst/>
          </a:prstGeom>
          <a:solidFill>
            <a:srgbClr val="002060"/>
          </a:solidFill>
          <a:ln w="19050">
            <a:noFill/>
          </a:ln>
          <a:effectLst>
            <a:outerShdw blurRad="50800" dist="38100" dir="2700000" algn="tl" rotWithShape="0">
              <a:srgbClr val="002060">
                <a:alpha val="40000"/>
              </a:srgbClr>
            </a:outerShdw>
          </a:effectLst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1200" b="1">
                <a:solidFill>
                  <a:schemeClr val="bg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MINIMIZAR COTA E FCJ !</a:t>
            </a:r>
          </a:p>
        </xdr:txBody>
      </xdr:sp>
      <xdr:pic macro="[0]!EncontrarMelhorRelacao">
        <xdr:nvPicPr>
          <xdr:cNvPr id="15" name="Gráfico 26" descr="Minimizar com preenchimento sólido">
            <a:extLst>
              <a:ext uri="{FF2B5EF4-FFF2-40B4-BE49-F238E27FC236}">
                <a16:creationId xmlns:a16="http://schemas.microsoft.com/office/drawing/2014/main" id="{C82BAE43-E1C7-8289-2B66-E1EFE7AE77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0583239" y="5083843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DE092-12DD-4687-8EA5-AFDF65F989CF}">
  <sheetPr codeName="Planilha2"/>
  <dimension ref="A1:T35"/>
  <sheetViews>
    <sheetView showGridLines="0" showRowColHeaders="0" topLeftCell="B1" zoomScale="110" zoomScaleNormal="110" zoomScaleSheetLayoutView="85" workbookViewId="0"/>
  </sheetViews>
  <sheetFormatPr defaultColWidth="0" defaultRowHeight="15" zeroHeight="1" x14ac:dyDescent="0.25"/>
  <cols>
    <col min="1" max="1" width="1.7109375" hidden="1" customWidth="1"/>
    <col min="2" max="2" width="5.7109375" customWidth="1"/>
    <col min="3" max="3" width="2.7109375" customWidth="1"/>
    <col min="4" max="19" width="9.140625" customWidth="1"/>
    <col min="20" max="20" width="0" hidden="1" customWidth="1"/>
    <col min="21" max="16384" width="9.140625" hidden="1"/>
  </cols>
  <sheetData>
    <row r="1" spans="3:19" ht="15" customHeight="1" x14ac:dyDescent="0.25"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</row>
    <row r="2" spans="3:19" ht="20.100000000000001" customHeight="1" x14ac:dyDescent="0.25"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</row>
    <row r="3" spans="3:19" ht="15" customHeight="1" x14ac:dyDescent="0.25"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</row>
    <row r="4" spans="3:19" ht="20.100000000000001" customHeight="1" x14ac:dyDescent="0.25">
      <c r="C4" s="82" t="s">
        <v>107</v>
      </c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4"/>
      <c r="S4" s="30"/>
    </row>
    <row r="5" spans="3:19" ht="15" customHeight="1" x14ac:dyDescent="0.25">
      <c r="C5" s="85" t="s">
        <v>78</v>
      </c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7"/>
      <c r="S5" s="30"/>
    </row>
    <row r="6" spans="3:19" ht="20.100000000000001" customHeight="1" x14ac:dyDescent="0.25">
      <c r="C6" s="88" t="s">
        <v>79</v>
      </c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90"/>
      <c r="S6" s="30"/>
    </row>
    <row r="7" spans="3:19" ht="15" customHeight="1" x14ac:dyDescent="0.25">
      <c r="C7" s="62" t="s">
        <v>108</v>
      </c>
      <c r="D7" s="63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5"/>
    </row>
    <row r="8" spans="3:19" ht="15" customHeight="1" x14ac:dyDescent="0.25">
      <c r="C8" s="62" t="s">
        <v>80</v>
      </c>
      <c r="D8" s="63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6"/>
    </row>
    <row r="9" spans="3:19" ht="15" customHeight="1" x14ac:dyDescent="0.25">
      <c r="C9" s="62" t="s">
        <v>81</v>
      </c>
      <c r="D9" s="63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6"/>
    </row>
    <row r="10" spans="3:19" ht="15" customHeight="1" x14ac:dyDescent="0.25">
      <c r="C10" s="62" t="s">
        <v>82</v>
      </c>
      <c r="D10" s="63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6"/>
    </row>
    <row r="11" spans="3:19" ht="20.100000000000001" customHeight="1" x14ac:dyDescent="0.25">
      <c r="C11" s="59" t="s">
        <v>83</v>
      </c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1"/>
    </row>
    <row r="12" spans="3:19" ht="15" customHeight="1" x14ac:dyDescent="0.25">
      <c r="C12" s="62" t="s">
        <v>84</v>
      </c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8"/>
    </row>
    <row r="13" spans="3:19" ht="15" customHeight="1" x14ac:dyDescent="0.25">
      <c r="C13" s="62" t="s">
        <v>85</v>
      </c>
      <c r="D13" s="63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  <c r="R13" s="68"/>
    </row>
    <row r="14" spans="3:19" ht="20.100000000000001" customHeight="1" x14ac:dyDescent="0.25">
      <c r="C14" s="59" t="s">
        <v>86</v>
      </c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1"/>
    </row>
    <row r="15" spans="3:19" ht="15" customHeight="1" x14ac:dyDescent="0.25">
      <c r="C15" s="62" t="s">
        <v>87</v>
      </c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8"/>
    </row>
    <row r="16" spans="3:19" ht="15" customHeight="1" x14ac:dyDescent="0.25">
      <c r="C16" s="62" t="s">
        <v>88</v>
      </c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8"/>
    </row>
    <row r="17" spans="3:20" ht="15" customHeight="1" x14ac:dyDescent="0.25">
      <c r="C17" s="62" t="s">
        <v>89</v>
      </c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8"/>
      <c r="S17" s="31"/>
      <c r="T17" s="31"/>
    </row>
    <row r="18" spans="3:20" ht="15" customHeight="1" x14ac:dyDescent="0.25">
      <c r="C18" s="62" t="s">
        <v>90</v>
      </c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  <c r="R18" s="70"/>
    </row>
    <row r="19" spans="3:20" ht="20.100000000000001" customHeight="1" x14ac:dyDescent="0.25">
      <c r="C19" s="59" t="s">
        <v>91</v>
      </c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2"/>
    </row>
    <row r="20" spans="3:20" ht="15" customHeight="1" x14ac:dyDescent="0.25">
      <c r="C20" s="62" t="s">
        <v>92</v>
      </c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8"/>
    </row>
    <row r="21" spans="3:20" ht="15" customHeight="1" x14ac:dyDescent="0.25">
      <c r="C21" s="62" t="s">
        <v>93</v>
      </c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70"/>
    </row>
    <row r="22" spans="3:20" ht="15" customHeight="1" x14ac:dyDescent="0.25">
      <c r="C22" s="62" t="s">
        <v>94</v>
      </c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8"/>
    </row>
    <row r="23" spans="3:20" ht="15" customHeight="1" x14ac:dyDescent="0.25">
      <c r="C23" s="62" t="s">
        <v>95</v>
      </c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8"/>
    </row>
    <row r="24" spans="3:20" ht="20.100000000000001" customHeight="1" x14ac:dyDescent="0.25">
      <c r="C24" s="59" t="s">
        <v>96</v>
      </c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2"/>
    </row>
    <row r="25" spans="3:20" ht="15" customHeight="1" x14ac:dyDescent="0.25">
      <c r="C25" s="62" t="s">
        <v>97</v>
      </c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70"/>
    </row>
    <row r="26" spans="3:20" ht="15" customHeight="1" x14ac:dyDescent="0.25">
      <c r="C26" s="62" t="s">
        <v>98</v>
      </c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56"/>
    </row>
    <row r="27" spans="3:20" ht="15" customHeight="1" x14ac:dyDescent="0.25">
      <c r="C27" s="62" t="s">
        <v>99</v>
      </c>
      <c r="R27" s="56"/>
    </row>
    <row r="28" spans="3:20" ht="20.100000000000001" customHeight="1" x14ac:dyDescent="0.25">
      <c r="C28" s="59" t="s">
        <v>100</v>
      </c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5"/>
    </row>
    <row r="29" spans="3:20" ht="15" customHeight="1" x14ac:dyDescent="0.25">
      <c r="C29" s="62" t="s">
        <v>101</v>
      </c>
      <c r="R29" s="57"/>
    </row>
    <row r="30" spans="3:20" ht="15" customHeight="1" x14ac:dyDescent="0.25">
      <c r="C30" s="62" t="s">
        <v>102</v>
      </c>
      <c r="R30" s="56"/>
    </row>
    <row r="31" spans="3:20" ht="15" customHeight="1" x14ac:dyDescent="0.25">
      <c r="C31" s="62" t="s">
        <v>103</v>
      </c>
      <c r="R31" s="56"/>
    </row>
    <row r="32" spans="3:20" ht="15" customHeight="1" x14ac:dyDescent="0.25">
      <c r="C32" s="62" t="s">
        <v>104</v>
      </c>
      <c r="R32" s="56"/>
    </row>
    <row r="33" spans="3:18" ht="15" customHeight="1" x14ac:dyDescent="0.25">
      <c r="C33" s="62" t="s">
        <v>105</v>
      </c>
      <c r="D33" s="76"/>
      <c r="E33" s="58"/>
      <c r="R33" s="56"/>
    </row>
    <row r="34" spans="3:18" ht="15" customHeight="1" x14ac:dyDescent="0.25">
      <c r="C34" s="77" t="s">
        <v>106</v>
      </c>
      <c r="D34" s="78"/>
      <c r="E34" s="79"/>
      <c r="F34" s="79"/>
      <c r="G34" s="79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80"/>
    </row>
    <row r="35" spans="3:18" x14ac:dyDescent="0.25"/>
  </sheetData>
  <sheetProtection algorithmName="SHA-512" hashValue="BaOfx2aw3oYZqDqOXJrZwm3jzv2zniIhINDloauibiFOxLfxA0544sirZNx0nyctHrqmMbq7dR8PIOd52eZ+HA==" saltValue="4D4RsVyON9P+XQ3G8t02yg==" spinCount="100000" sheet="1" objects="1" scenarios="1" selectLockedCells="1"/>
  <mergeCells count="3">
    <mergeCell ref="C4:R4"/>
    <mergeCell ref="C5:R5"/>
    <mergeCell ref="C6:R6"/>
  </mergeCells>
  <pageMargins left="0.25" right="0.25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D5984-C61F-4212-A934-8D309C22CFC7}">
  <sheetPr codeName="Planilha1"/>
  <dimension ref="B1:W124"/>
  <sheetViews>
    <sheetView showGridLines="0" showRowColHeaders="0" tabSelected="1" topLeftCell="A6" zoomScale="110" zoomScaleNormal="110" zoomScaleSheetLayoutView="110" workbookViewId="0">
      <selection activeCell="G7" sqref="G7"/>
    </sheetView>
  </sheetViews>
  <sheetFormatPr defaultColWidth="0" defaultRowHeight="15" zeroHeight="1" x14ac:dyDescent="0.25"/>
  <cols>
    <col min="1" max="1" width="5.7109375" style="1" customWidth="1"/>
    <col min="2" max="7" width="16.7109375" style="1" customWidth="1"/>
    <col min="8" max="8" width="5.85546875" style="1" bestFit="1" customWidth="1"/>
    <col min="9" max="11" width="14.28515625" style="1" customWidth="1"/>
    <col min="12" max="14" width="16.7109375" style="1" customWidth="1"/>
    <col min="15" max="15" width="14.28515625" hidden="1" customWidth="1"/>
    <col min="16" max="23" width="13.7109375" style="1" hidden="1" customWidth="1"/>
    <col min="24" max="16384" width="0" style="1" hidden="1"/>
  </cols>
  <sheetData>
    <row r="1" spans="2:23" ht="15" customHeight="1" x14ac:dyDescent="0.25"/>
    <row r="2" spans="2:23" ht="20.100000000000001" customHeight="1" x14ac:dyDescent="0.25"/>
    <row r="3" spans="2:23" ht="15" customHeight="1" x14ac:dyDescent="0.25"/>
    <row r="4" spans="2:23" x14ac:dyDescent="0.25">
      <c r="B4" s="91" t="s">
        <v>13</v>
      </c>
      <c r="C4" s="91"/>
      <c r="D4" s="91"/>
      <c r="E4" s="91"/>
      <c r="F4" s="91"/>
      <c r="G4" s="91"/>
      <c r="H4" s="91" t="s">
        <v>70</v>
      </c>
      <c r="I4" s="91"/>
      <c r="J4" s="91"/>
      <c r="K4" s="91"/>
      <c r="L4" s="91"/>
      <c r="M4" s="91"/>
      <c r="N4" s="91"/>
      <c r="P4" s="92" t="s">
        <v>19</v>
      </c>
      <c r="Q4" s="92"/>
      <c r="R4"/>
      <c r="S4" s="92" t="s">
        <v>20</v>
      </c>
      <c r="T4" s="92"/>
      <c r="U4"/>
      <c r="V4" s="92" t="s">
        <v>21</v>
      </c>
      <c r="W4" s="92"/>
    </row>
    <row r="5" spans="2:23" ht="15.75" x14ac:dyDescent="0.3">
      <c r="B5" s="54" t="s">
        <v>57</v>
      </c>
      <c r="C5" s="93" t="s">
        <v>14</v>
      </c>
      <c r="D5" s="93"/>
      <c r="E5" s="93"/>
      <c r="F5" s="93"/>
      <c r="G5" s="54" t="s">
        <v>15</v>
      </c>
      <c r="H5" s="53" t="s">
        <v>63</v>
      </c>
      <c r="I5" s="53" t="s">
        <v>9</v>
      </c>
      <c r="J5" s="53" t="s">
        <v>10</v>
      </c>
      <c r="K5" s="53" t="s">
        <v>64</v>
      </c>
      <c r="L5" s="91" t="s">
        <v>62</v>
      </c>
      <c r="M5" s="91"/>
      <c r="N5" s="91"/>
      <c r="P5" s="2" t="s">
        <v>22</v>
      </c>
      <c r="Q5" s="3">
        <v>0</v>
      </c>
      <c r="R5"/>
      <c r="S5" s="4" t="s">
        <v>23</v>
      </c>
      <c r="T5" s="5">
        <f>G7</f>
        <v>15</v>
      </c>
      <c r="U5"/>
      <c r="V5" s="6" t="s">
        <v>24</v>
      </c>
      <c r="W5" s="7">
        <f>$T$19*$Q$19+$T$20*$Q$20+$T$21*$Q$21+$T$22*$Q$22+$T$23*$Q$23</f>
        <v>28.79296875</v>
      </c>
    </row>
    <row r="6" spans="2:23" ht="15.75" x14ac:dyDescent="0.3">
      <c r="H6" s="41">
        <v>0</v>
      </c>
      <c r="I6" s="8">
        <v>0</v>
      </c>
      <c r="J6" s="8">
        <f t="shared" ref="J6:J16" si="0">-(($E$11)/1000)*(H6/100)^2/2</f>
        <v>0</v>
      </c>
      <c r="K6" s="8">
        <f t="shared" ref="K6:K16" si="1">1000000000*(((($E$11)/1000)*(($H$16-H6)/100))/($L$7*24*$G$10*$G$11))*((4*(($C$12/100)^2)*(($C$8-$C$12)/100))-((($C$8-$C$12)/100)^3)+(6*(($C$12/100)^2)*(($H$16-H6)/100))-(4*($C$12/100)*((($H$16-H6)/100)^2))+((($H$16-H6)/100)^3))</f>
        <v>34.989148642568694</v>
      </c>
      <c r="L6" s="9" t="s">
        <v>58</v>
      </c>
      <c r="M6" s="9" t="s">
        <v>66</v>
      </c>
      <c r="N6" s="9" t="s">
        <v>59</v>
      </c>
      <c r="P6" s="2" t="s">
        <v>25</v>
      </c>
      <c r="Q6" s="3">
        <v>0</v>
      </c>
      <c r="R6"/>
      <c r="S6" s="4" t="s">
        <v>26</v>
      </c>
      <c r="T6" s="1" t="str">
        <f>IF(T5&lt;=50,"I","II")</f>
        <v>I</v>
      </c>
      <c r="U6"/>
      <c r="V6" s="6" t="s">
        <v>27</v>
      </c>
      <c r="W6" s="7">
        <f>(0.68*$Q$6/$T$7/($Q$7-$Q$9)-0.272*($Q$6/$T$7/($Q$7-$Q$9))^2)*$Q$5*($Q$7-$Q$9)^2*$T$5*1000/1.4</f>
        <v>0</v>
      </c>
    </row>
    <row r="7" spans="2:23" x14ac:dyDescent="0.25">
      <c r="B7" s="11" t="s">
        <v>56</v>
      </c>
      <c r="C7" s="32">
        <v>25</v>
      </c>
      <c r="D7" s="32">
        <v>35</v>
      </c>
      <c r="F7" s="11" t="s">
        <v>12</v>
      </c>
      <c r="G7" s="34">
        <v>15</v>
      </c>
      <c r="H7" s="41">
        <f>$H$16/10</f>
        <v>45</v>
      </c>
      <c r="I7" s="8">
        <f t="shared" ref="I7:I16" si="2">(($E$11)/1000)*(H7/100)</f>
        <v>9.8437499999999997E-2</v>
      </c>
      <c r="J7" s="8">
        <f t="shared" si="0"/>
        <v>-2.21484375E-2</v>
      </c>
      <c r="K7" s="8">
        <f t="shared" si="1"/>
        <v>30.914911748457175</v>
      </c>
      <c r="L7" s="37">
        <v>0.4</v>
      </c>
      <c r="M7" s="36">
        <v>350</v>
      </c>
      <c r="N7" s="12">
        <f>1/((LARGE(K6:K52,1)/10)/C8)</f>
        <v>272.94176539011943</v>
      </c>
      <c r="P7" s="2" t="s">
        <v>28</v>
      </c>
      <c r="Q7" s="3">
        <f>D7/100</f>
        <v>0.35</v>
      </c>
      <c r="R7"/>
      <c r="S7" s="13" t="s">
        <v>29</v>
      </c>
      <c r="T7" s="14">
        <f>IF(T5&lt;=50,0.8,0.8-(T5-50)/400)</f>
        <v>0.8</v>
      </c>
      <c r="U7"/>
      <c r="V7" s="6" t="s">
        <v>30</v>
      </c>
      <c r="W7" s="7" t="str">
        <f>IF($W$6&gt;=$W$5,"LN na Mesa","LN na Alma")</f>
        <v>LN na Alma</v>
      </c>
    </row>
    <row r="8" spans="2:23" ht="15.75" x14ac:dyDescent="0.3">
      <c r="B8" s="11" t="s">
        <v>0</v>
      </c>
      <c r="C8" s="32">
        <v>955</v>
      </c>
      <c r="G8" s="35" t="s">
        <v>18</v>
      </c>
      <c r="H8" s="41">
        <f>2*$H$16/10</f>
        <v>90</v>
      </c>
      <c r="I8" s="8">
        <f t="shared" si="2"/>
        <v>0.19687499999999999</v>
      </c>
      <c r="J8" s="8">
        <f t="shared" si="0"/>
        <v>-8.8593749999999999E-2</v>
      </c>
      <c r="K8" s="8">
        <f t="shared" si="1"/>
        <v>26.848737425334612</v>
      </c>
      <c r="L8" s="15" t="s">
        <v>5</v>
      </c>
      <c r="M8" s="9" t="s">
        <v>17</v>
      </c>
      <c r="N8" s="9" t="s">
        <v>16</v>
      </c>
      <c r="P8" s="2" t="s">
        <v>31</v>
      </c>
      <c r="Q8" s="3">
        <f>C7/100</f>
        <v>0.25</v>
      </c>
      <c r="R8"/>
      <c r="S8" s="4" t="s">
        <v>32</v>
      </c>
      <c r="T8" s="14">
        <f>IF(T5&lt;=50,0.85,0.85*(1-(T5-50)/200))</f>
        <v>0.85</v>
      </c>
      <c r="U8"/>
      <c r="V8" s="6" t="s">
        <v>33</v>
      </c>
      <c r="W8" s="16">
        <f>IF($W$6&gt;=$W$5,0,$T$8*$T$5*1000/1.4*$Q$6*($Q$5-$Q$8)*($Q$7-$Q$9-$Q$6/2))</f>
        <v>0</v>
      </c>
    </row>
    <row r="9" spans="2:23" ht="15.75" x14ac:dyDescent="0.25">
      <c r="F9" s="11" t="s">
        <v>3</v>
      </c>
      <c r="G9" s="42">
        <f>MIN((0.8+0.2*(G7/80)),1)</f>
        <v>0.83750000000000002</v>
      </c>
      <c r="H9" s="41">
        <f>3*$H$16/10</f>
        <v>135</v>
      </c>
      <c r="I9" s="8">
        <f t="shared" si="2"/>
        <v>0.29531250000000003</v>
      </c>
      <c r="J9" s="8">
        <f t="shared" si="0"/>
        <v>-0.19933593750000003</v>
      </c>
      <c r="K9" s="8">
        <f t="shared" si="1"/>
        <v>22.811357998601153</v>
      </c>
      <c r="L9" s="38">
        <v>0.25</v>
      </c>
      <c r="M9" s="43">
        <f>IF(W23&gt;W24,W23,W24)</f>
        <v>4.1550064170760903</v>
      </c>
      <c r="N9" s="17">
        <f>(((N11/20)^2*PI())*M11)+(((N12/20)^2*PI())*M12)</f>
        <v>17.867808217291948</v>
      </c>
      <c r="P9" s="2" t="s">
        <v>34</v>
      </c>
      <c r="Q9" s="3">
        <v>0.05</v>
      </c>
      <c r="R9"/>
      <c r="S9" s="4" t="s">
        <v>35</v>
      </c>
      <c r="T9" s="1">
        <f>IF(T5&lt;=50,0.45,0.35)</f>
        <v>0.45</v>
      </c>
      <c r="U9"/>
      <c r="V9" s="6" t="s">
        <v>36</v>
      </c>
      <c r="W9" s="16">
        <f>$W$5-$W$8</f>
        <v>28.79296875</v>
      </c>
    </row>
    <row r="10" spans="2:23" x14ac:dyDescent="0.25">
      <c r="B10" s="11" t="s">
        <v>54</v>
      </c>
      <c r="C10" s="52">
        <v>30</v>
      </c>
      <c r="D10" s="11" t="s">
        <v>6</v>
      </c>
      <c r="E10" s="33">
        <v>0</v>
      </c>
      <c r="F10" s="11" t="s">
        <v>4</v>
      </c>
      <c r="G10" s="44">
        <f>IF(G7&lt;51,(IF(G8="Basalto e Diabásio",1.2,IF(G8="Granito e Gnaisse",1,IF(G8="Calcário",0.9,0.7)))*G9*5600*SQRT(G7)),(21.5*1000*IF(G8="Basalto e Diabásio",1.2,IF(G8="Granito e Gnaisse",1,IF(G8="Calcário",0.9,0.7)))*(((G7/10)+1.25)^(1/3))))</f>
        <v>18164.291893712787</v>
      </c>
      <c r="H10" s="41">
        <f>4*$H$16/10</f>
        <v>180</v>
      </c>
      <c r="I10" s="8">
        <f t="shared" si="2"/>
        <v>0.39374999999999999</v>
      </c>
      <c r="J10" s="8">
        <f t="shared" si="0"/>
        <v>-0.354375</v>
      </c>
      <c r="K10" s="8">
        <f t="shared" si="1"/>
        <v>18.837327343923782</v>
      </c>
      <c r="L10"/>
      <c r="N10" s="55"/>
      <c r="P10" s="2"/>
      <c r="Q10" s="3"/>
      <c r="R10"/>
      <c r="S10" s="4"/>
      <c r="U10"/>
      <c r="V10" s="6"/>
      <c r="W10" s="16"/>
    </row>
    <row r="11" spans="2:23" x14ac:dyDescent="0.25">
      <c r="B11" s="11" t="s">
        <v>55</v>
      </c>
      <c r="C11" s="49">
        <f>IF(((C10/100)*C8)&gt;500,500,(C10/100)*C8)</f>
        <v>286.5</v>
      </c>
      <c r="D11" s="11" t="s">
        <v>7</v>
      </c>
      <c r="E11" s="47">
        <f>((C7*D7)*2500/10000)+(E10)</f>
        <v>218.75</v>
      </c>
      <c r="F11" s="11" t="s">
        <v>2</v>
      </c>
      <c r="G11" s="45">
        <f>(C7*D7^3)/12</f>
        <v>89322.916666666672</v>
      </c>
      <c r="H11" s="41">
        <f>5*$H$16/10</f>
        <v>225</v>
      </c>
      <c r="I11" s="8">
        <f t="shared" si="2"/>
        <v>0.4921875</v>
      </c>
      <c r="J11" s="8">
        <f t="shared" si="0"/>
        <v>-0.5537109375</v>
      </c>
      <c r="K11" s="8">
        <f t="shared" si="1"/>
        <v>14.975020887236193</v>
      </c>
      <c r="L11" s="19" t="s">
        <v>67</v>
      </c>
      <c r="M11" s="39">
        <v>3</v>
      </c>
      <c r="N11" s="40">
        <v>25</v>
      </c>
      <c r="P11" s="2"/>
      <c r="Q11" s="3"/>
      <c r="R11"/>
      <c r="S11" s="4"/>
      <c r="U11"/>
      <c r="V11" s="6"/>
      <c r="W11" s="16"/>
    </row>
    <row r="12" spans="2:23" x14ac:dyDescent="0.25">
      <c r="B12" s="11" t="s">
        <v>1</v>
      </c>
      <c r="C12" s="32">
        <v>450</v>
      </c>
      <c r="D12" s="11" t="s">
        <v>8</v>
      </c>
      <c r="E12" s="48">
        <f>(E11/1000)*(C8/100)</f>
        <v>2.0890625000000003</v>
      </c>
      <c r="F12" s="11" t="s">
        <v>11</v>
      </c>
      <c r="G12" s="46">
        <f>(1.5*0.21*G7^(2/3)*G11)/(D7/2)/10000</f>
        <v>0.97790403960078565</v>
      </c>
      <c r="H12" s="41">
        <f>6*$H$16/10</f>
        <v>270</v>
      </c>
      <c r="I12" s="8">
        <f t="shared" si="2"/>
        <v>0.59062500000000007</v>
      </c>
      <c r="J12" s="8">
        <f t="shared" si="0"/>
        <v>-0.79734375000000013</v>
      </c>
      <c r="K12" s="8">
        <f t="shared" si="1"/>
        <v>11.286635604738903</v>
      </c>
      <c r="L12" s="19" t="s">
        <v>68</v>
      </c>
      <c r="M12" s="39">
        <v>1</v>
      </c>
      <c r="N12" s="40">
        <v>20</v>
      </c>
      <c r="P12" s="2"/>
      <c r="Q12" s="3"/>
      <c r="R12"/>
      <c r="S12" s="4"/>
      <c r="U12"/>
      <c r="V12" s="6"/>
      <c r="W12" s="16"/>
    </row>
    <row r="13" spans="2:23" x14ac:dyDescent="0.25">
      <c r="H13" s="41">
        <f>7*$H$16/10</f>
        <v>315</v>
      </c>
      <c r="I13" s="8">
        <f t="shared" si="2"/>
        <v>0.68906250000000002</v>
      </c>
      <c r="J13" s="8">
        <f t="shared" si="0"/>
        <v>-1.0852734374999999</v>
      </c>
      <c r="K13" s="8">
        <f t="shared" si="1"/>
        <v>7.8481900228991899</v>
      </c>
      <c r="L13" s="19" t="s">
        <v>69</v>
      </c>
      <c r="M13" s="94">
        <f>((2*(M11*PI()*(N11/10)^2/4+M12*PI()*(N12/10)^2/4))*0.785+(IF(D7&gt;60,2,1)*(ROUNDUP(100/(IF(N11=25,20,15)),0)*(2*(C7-2*3)+2*(D7-2*3)+20)/100)*((PI()*(IF(N11=25,8,6.3)/10)^2/4)*0.785)))/(C7*D7/10000)</f>
        <v>346.75481505640522</v>
      </c>
      <c r="N13" s="94"/>
      <c r="P13" s="2"/>
      <c r="Q13" s="3"/>
      <c r="R13"/>
      <c r="S13" s="4"/>
      <c r="U13"/>
      <c r="V13" s="6"/>
      <c r="W13" s="16"/>
    </row>
    <row r="14" spans="2:23" x14ac:dyDescent="0.25">
      <c r="H14" s="41">
        <f>8*$H$16/10</f>
        <v>360</v>
      </c>
      <c r="I14" s="8">
        <f t="shared" si="2"/>
        <v>0.78749999999999998</v>
      </c>
      <c r="J14" s="8">
        <f t="shared" si="0"/>
        <v>-1.4175</v>
      </c>
      <c r="K14" s="8">
        <f t="shared" si="1"/>
        <v>4.7495242184511115</v>
      </c>
      <c r="P14" s="2"/>
      <c r="Q14" s="3"/>
      <c r="R14"/>
      <c r="S14" s="4"/>
      <c r="U14"/>
      <c r="V14" s="6"/>
      <c r="W14" s="16"/>
    </row>
    <row r="15" spans="2:23" x14ac:dyDescent="0.25">
      <c r="D15" s="20"/>
      <c r="H15" s="41">
        <f>9*$H$16/10</f>
        <v>405</v>
      </c>
      <c r="I15" s="8">
        <f t="shared" si="2"/>
        <v>0.88593749999999993</v>
      </c>
      <c r="J15" s="8">
        <f t="shared" si="0"/>
        <v>-1.7940234374999999</v>
      </c>
      <c r="K15" s="8">
        <f t="shared" si="1"/>
        <v>2.0942998183955095</v>
      </c>
      <c r="L15" s="11" t="s">
        <v>60</v>
      </c>
      <c r="M15" s="50">
        <f>(MAX(J6:J52)*1.3)/G12</f>
        <v>3.8610246821403259E-2</v>
      </c>
      <c r="N15"/>
      <c r="P15" s="2"/>
      <c r="Q15" s="3"/>
      <c r="R15"/>
      <c r="S15" s="4"/>
      <c r="U15"/>
      <c r="V15" s="6"/>
      <c r="W15" s="16"/>
    </row>
    <row r="16" spans="2:23" x14ac:dyDescent="0.25">
      <c r="H16" s="41">
        <f>$C$12</f>
        <v>450</v>
      </c>
      <c r="I16" s="8">
        <f t="shared" si="2"/>
        <v>0.984375</v>
      </c>
      <c r="J16" s="8">
        <f t="shared" si="0"/>
        <v>-2.21484375</v>
      </c>
      <c r="K16" s="8">
        <f t="shared" si="1"/>
        <v>0</v>
      </c>
      <c r="L16" s="19"/>
      <c r="N16"/>
      <c r="P16" s="2"/>
      <c r="Q16" s="2"/>
      <c r="R16"/>
      <c r="S16" s="92" t="s">
        <v>37</v>
      </c>
      <c r="T16" s="92"/>
      <c r="U16"/>
      <c r="V16" s="6" t="s">
        <v>38</v>
      </c>
      <c r="W16" s="16">
        <f>IF($W$6&gt;=$W$5,$Q$5,$Q$8)</f>
        <v>0.25</v>
      </c>
    </row>
    <row r="17" spans="2:23" ht="15.75" x14ac:dyDescent="0.25">
      <c r="H17" s="41">
        <f t="shared" ref="H17:H41" si="3">H16+(($C$8-$C$12-$C$12)/26)</f>
        <v>452.11538461538464</v>
      </c>
      <c r="I17" s="8">
        <f t="shared" ref="I17:I51" si="4">I18-(($E$11)/1000)*((H18-H17)/100)</f>
        <v>-0.98629926694592518</v>
      </c>
      <c r="J17" s="8">
        <f t="shared" ref="J17:J52" si="5">(((($E$11)/1000)*($C$8-H17)/100)/(2*(($C$8-$C$12)/100)))*(((($C$8-$C$12)/100)^2)-(($C$12/100)^2)-((($C$8-H17)/100)*(($C$8-$C$12)/100)))</f>
        <v>-2.1939307833508481</v>
      </c>
      <c r="K17" s="8">
        <f t="shared" ref="K17:K52" si="6">1000000000*(((($E$11)/1000)*(($C$8-H17)/100))/($L$7*24*$G$10*$G$11*(($C$8-$C$12)/100)))*(((($C$8-$C$12)/100)^4)-(2*((($C$8-$C$12)/100)^2)*((($C$8-H17)/100)^2))+((($C$8-$C$12)/100)*((($C$8-H17)/100)^3))-(2*(($C$12/100)^2)*((($C$8-$C$12)/100)^2))+(2*(($C$12/100)^2)*((($C$8-H17)/100)^2)))</f>
        <v>-8.2501362770968117E-2</v>
      </c>
      <c r="L17" s="11" t="s">
        <v>61</v>
      </c>
      <c r="M17" s="51">
        <f>((E11)*(C8/100)^2/2)/((C8-C12)/100)/1000</f>
        <v>1.9753016707920796</v>
      </c>
      <c r="N17"/>
      <c r="P17"/>
      <c r="Q17"/>
      <c r="R17"/>
      <c r="S17" s="21" t="s">
        <v>39</v>
      </c>
      <c r="T17" s="22">
        <v>50</v>
      </c>
      <c r="U17"/>
      <c r="V17" s="6" t="s">
        <v>40</v>
      </c>
      <c r="W17" s="23">
        <f>$W$9/$W$16/($Q$7-$Q$9)^2/($T$5*1000/1.4)</f>
        <v>0.11943749999999999</v>
      </c>
    </row>
    <row r="18" spans="2:23" ht="15.75" x14ac:dyDescent="0.25">
      <c r="H18" s="41">
        <f t="shared" si="3"/>
        <v>454.23076923076928</v>
      </c>
      <c r="I18" s="8">
        <f t="shared" si="4"/>
        <v>-0.98167186309977128</v>
      </c>
      <c r="J18" s="8">
        <f t="shared" si="5"/>
        <v>-2.1731157040907489</v>
      </c>
      <c r="K18" s="8">
        <f t="shared" si="6"/>
        <v>-0.16348999400720798</v>
      </c>
      <c r="L18" s="1" t="s">
        <v>109</v>
      </c>
      <c r="M18" s="81">
        <f>ABS(J35/J16)</f>
        <v>0.82815599393601202</v>
      </c>
      <c r="N18"/>
      <c r="P18" s="92" t="s">
        <v>41</v>
      </c>
      <c r="Q18" s="92"/>
      <c r="R18" s="92"/>
      <c r="S18" s="92"/>
      <c r="T18" s="92"/>
      <c r="U18"/>
      <c r="V18" s="6" t="s">
        <v>42</v>
      </c>
      <c r="W18" s="24">
        <f>(1-SQRT(1-2*$W$17/$T$8))/$T$7</f>
        <v>0.19009833280740282</v>
      </c>
    </row>
    <row r="19" spans="2:23" ht="18.75" x14ac:dyDescent="0.3">
      <c r="H19" s="41">
        <f t="shared" si="3"/>
        <v>456.34615384615392</v>
      </c>
      <c r="I19" s="8">
        <f t="shared" si="4"/>
        <v>-0.97704445925361738</v>
      </c>
      <c r="J19" s="8">
        <f t="shared" si="5"/>
        <v>-2.1523985122197034</v>
      </c>
      <c r="K19" s="8">
        <f t="shared" si="6"/>
        <v>-0.24298024580676758</v>
      </c>
      <c r="L19"/>
      <c r="M19"/>
      <c r="N19"/>
      <c r="P19" s="2" t="s">
        <v>43</v>
      </c>
      <c r="Q19" s="3">
        <f>LARGE(Q25:Q26,1)*10</f>
        <v>22.1484375</v>
      </c>
      <c r="R19"/>
      <c r="S19" s="25" t="s">
        <v>44</v>
      </c>
      <c r="T19" s="3">
        <v>1.3</v>
      </c>
      <c r="U19"/>
      <c r="V19" s="6" t="s">
        <v>45</v>
      </c>
      <c r="W19" s="24" t="str">
        <f>IF($W$18&lt;=$T$9,"ok!","kx &gt; kx-lim - Verificar")</f>
        <v>ok!</v>
      </c>
    </row>
    <row r="20" spans="2:23" ht="18.75" x14ac:dyDescent="0.3">
      <c r="B20" s="91" t="s">
        <v>65</v>
      </c>
      <c r="C20" s="91"/>
      <c r="D20" s="91"/>
      <c r="E20" s="91"/>
      <c r="F20" s="91"/>
      <c r="G20" s="91"/>
      <c r="H20" s="41">
        <f t="shared" si="3"/>
        <v>458.46153846153857</v>
      </c>
      <c r="I20" s="8">
        <f t="shared" si="4"/>
        <v>-0.97241705540746348</v>
      </c>
      <c r="J20" s="8">
        <f t="shared" si="5"/>
        <v>-2.1317792077377109</v>
      </c>
      <c r="K20" s="8">
        <f t="shared" si="6"/>
        <v>-0.32098640277388907</v>
      </c>
      <c r="L20"/>
      <c r="M20"/>
      <c r="N20"/>
      <c r="P20" s="2" t="s">
        <v>46</v>
      </c>
      <c r="Q20" s="3">
        <v>0</v>
      </c>
      <c r="R20"/>
      <c r="S20" s="25" t="s">
        <v>44</v>
      </c>
      <c r="T20" s="3">
        <v>0</v>
      </c>
      <c r="U20"/>
      <c r="V20" s="6" t="s">
        <v>47</v>
      </c>
      <c r="W20" s="23">
        <f>1-$T$7/2*$W$18</f>
        <v>0.92396066687703882</v>
      </c>
    </row>
    <row r="21" spans="2:23" ht="18.75" x14ac:dyDescent="0.3">
      <c r="H21" s="41">
        <f t="shared" si="3"/>
        <v>460.57692307692321</v>
      </c>
      <c r="I21" s="8">
        <f t="shared" si="4"/>
        <v>-0.96778965156130958</v>
      </c>
      <c r="J21" s="8">
        <f t="shared" si="5"/>
        <v>-2.1112577906447716</v>
      </c>
      <c r="K21" s="8">
        <f t="shared" si="6"/>
        <v>-0.39752268201895086</v>
      </c>
      <c r="L21"/>
      <c r="M21"/>
      <c r="N21"/>
      <c r="P21" s="2" t="s">
        <v>48</v>
      </c>
      <c r="Q21" s="3">
        <v>0</v>
      </c>
      <c r="R21"/>
      <c r="S21" s="25" t="s">
        <v>44</v>
      </c>
      <c r="T21" s="3">
        <v>0</v>
      </c>
      <c r="U21"/>
      <c r="V21" s="6" t="s">
        <v>49</v>
      </c>
      <c r="W21" s="26">
        <f>IF(10/(1/$W$18-1)&lt;3.5,10/(1/$W$18-1),3.5)</f>
        <v>2.3471779415685141</v>
      </c>
    </row>
    <row r="22" spans="2:23" ht="18.75" x14ac:dyDescent="0.3">
      <c r="H22" s="41">
        <f t="shared" si="3"/>
        <v>462.69230769230785</v>
      </c>
      <c r="I22" s="8">
        <f t="shared" si="4"/>
        <v>-0.96316224771515568</v>
      </c>
      <c r="J22" s="8">
        <f t="shared" si="5"/>
        <v>-2.0908342609408854</v>
      </c>
      <c r="K22" s="8">
        <f t="shared" si="6"/>
        <v>-0.47260323315851321</v>
      </c>
      <c r="P22" s="2" t="s">
        <v>50</v>
      </c>
      <c r="Q22" s="3">
        <v>0</v>
      </c>
      <c r="R22"/>
      <c r="S22" s="25" t="s">
        <v>44</v>
      </c>
      <c r="T22" s="3">
        <v>0</v>
      </c>
      <c r="U22"/>
      <c r="V22" s="6" t="s">
        <v>51</v>
      </c>
      <c r="W22" s="26">
        <f>IF($W$21&lt;3.5,10,(1/$W$18-1)*3.5)</f>
        <v>10</v>
      </c>
    </row>
    <row r="23" spans="2:23" ht="18.75" x14ac:dyDescent="0.3">
      <c r="H23" s="41">
        <f t="shared" si="3"/>
        <v>464.80769230769249</v>
      </c>
      <c r="I23" s="8">
        <f t="shared" si="4"/>
        <v>-0.95853484386900178</v>
      </c>
      <c r="J23" s="8">
        <f t="shared" si="5"/>
        <v>-2.0705086186260528</v>
      </c>
      <c r="K23" s="8">
        <f t="shared" si="6"/>
        <v>-0.54624213831531931</v>
      </c>
      <c r="P23" s="2" t="s">
        <v>52</v>
      </c>
      <c r="Q23" s="3">
        <v>0</v>
      </c>
      <c r="R23"/>
      <c r="S23" s="25" t="s">
        <v>44</v>
      </c>
      <c r="T23" s="3">
        <v>0</v>
      </c>
      <c r="U23"/>
      <c r="V23" s="27" t="s">
        <v>53</v>
      </c>
      <c r="W23" s="28">
        <f>$W$8/($Q$7-$Q$9-$Q$6/2)/($T$17/1.15)+$W$9/$W$20/($Q$7-$Q$9)/($T$17/2)</f>
        <v>4.1550064170760903</v>
      </c>
    </row>
    <row r="24" spans="2:23" ht="18.75" customHeight="1" x14ac:dyDescent="0.25">
      <c r="H24" s="41">
        <f t="shared" si="3"/>
        <v>466.92307692307713</v>
      </c>
      <c r="I24" s="8">
        <f t="shared" si="4"/>
        <v>-0.95390744002284789</v>
      </c>
      <c r="J24" s="8">
        <f t="shared" si="5"/>
        <v>-2.0502808637002738</v>
      </c>
      <c r="K24" s="8">
        <f t="shared" si="6"/>
        <v>-0.61845341211827376</v>
      </c>
      <c r="V24" s="1" t="s">
        <v>72</v>
      </c>
      <c r="W24" s="1">
        <f>(L9/100)*C7*D7</f>
        <v>2.1875</v>
      </c>
    </row>
    <row r="25" spans="2:23" ht="18.75" customHeight="1" x14ac:dyDescent="0.25">
      <c r="H25" s="41">
        <f t="shared" si="3"/>
        <v>469.03846153846177</v>
      </c>
      <c r="I25" s="8">
        <f t="shared" si="4"/>
        <v>-0.94928003617669399</v>
      </c>
      <c r="J25" s="8">
        <f t="shared" si="5"/>
        <v>-2.0301509961635471</v>
      </c>
      <c r="K25" s="8">
        <f t="shared" si="6"/>
        <v>-0.68925100170244158</v>
      </c>
      <c r="P25" s="1" t="s">
        <v>76</v>
      </c>
      <c r="Q25" s="14">
        <f>MAX(J6:J51)</f>
        <v>2.9043935643564334E-2</v>
      </c>
    </row>
    <row r="26" spans="2:23" ht="18.75" customHeight="1" x14ac:dyDescent="0.25">
      <c r="H26" s="41">
        <f t="shared" si="3"/>
        <v>471.15384615384642</v>
      </c>
      <c r="I26" s="8">
        <f t="shared" si="4"/>
        <v>-0.94465263233054009</v>
      </c>
      <c r="J26" s="8">
        <f t="shared" si="5"/>
        <v>-2.0101190160158748</v>
      </c>
      <c r="K26" s="8">
        <f t="shared" si="6"/>
        <v>-0.75864878670908265</v>
      </c>
      <c r="P26" s="1" t="s">
        <v>77</v>
      </c>
      <c r="Q26" s="14">
        <f>ABS(MIN(J6:J51))</f>
        <v>2.21484375</v>
      </c>
    </row>
    <row r="27" spans="2:23" ht="18.75" customHeight="1" x14ac:dyDescent="0.25">
      <c r="H27" s="41">
        <f t="shared" si="3"/>
        <v>473.26923076923106</v>
      </c>
      <c r="I27" s="8">
        <f t="shared" si="4"/>
        <v>-0.94002522848438619</v>
      </c>
      <c r="J27" s="8">
        <f t="shared" si="5"/>
        <v>-1.9901849232572548</v>
      </c>
      <c r="K27" s="8">
        <f t="shared" si="6"/>
        <v>-0.82666057928560011</v>
      </c>
      <c r="M27" s="14"/>
    </row>
    <row r="28" spans="2:23" ht="18.75" customHeight="1" x14ac:dyDescent="0.25">
      <c r="G28"/>
      <c r="H28" s="41">
        <f t="shared" si="3"/>
        <v>475.3846153846157</v>
      </c>
      <c r="I28" s="8">
        <f t="shared" si="4"/>
        <v>-0.93539782463823229</v>
      </c>
      <c r="J28" s="8">
        <f t="shared" si="5"/>
        <v>-1.9703487178876888</v>
      </c>
      <c r="K28" s="8">
        <f t="shared" si="6"/>
        <v>-0.89330012408559689</v>
      </c>
      <c r="L28"/>
      <c r="M28"/>
      <c r="N28"/>
    </row>
    <row r="29" spans="2:23" x14ac:dyDescent="0.25">
      <c r="H29" s="41">
        <f t="shared" si="3"/>
        <v>477.50000000000034</v>
      </c>
      <c r="I29" s="8">
        <f t="shared" si="4"/>
        <v>-0.93077042079207839</v>
      </c>
      <c r="J29" s="8">
        <f t="shared" si="5"/>
        <v>-1.9506103999071753</v>
      </c>
      <c r="K29" s="8">
        <f t="shared" si="6"/>
        <v>-0.95858109826882232</v>
      </c>
    </row>
    <row r="30" spans="2:23" x14ac:dyDescent="0.25">
      <c r="H30" s="41">
        <f t="shared" si="3"/>
        <v>479.61538461538498</v>
      </c>
      <c r="I30" s="8">
        <f t="shared" si="4"/>
        <v>-0.92614301694592449</v>
      </c>
      <c r="J30" s="8">
        <f t="shared" si="5"/>
        <v>-1.9309699693157152</v>
      </c>
      <c r="K30" s="8">
        <f t="shared" si="6"/>
        <v>-1.0225171115012059</v>
      </c>
    </row>
    <row r="31" spans="2:23" x14ac:dyDescent="0.25">
      <c r="F31" s="19"/>
      <c r="H31" s="41">
        <f t="shared" si="3"/>
        <v>481.73076923076962</v>
      </c>
      <c r="I31" s="8">
        <f t="shared" si="4"/>
        <v>-0.92151561309977059</v>
      </c>
      <c r="J31" s="8">
        <f t="shared" si="5"/>
        <v>-1.9114274261133086</v>
      </c>
      <c r="K31" s="8">
        <f t="shared" si="6"/>
        <v>-1.0851217059548541</v>
      </c>
    </row>
    <row r="32" spans="2:23" x14ac:dyDescent="0.25">
      <c r="H32" s="41">
        <f t="shared" si="3"/>
        <v>483.84615384615427</v>
      </c>
      <c r="I32" s="8">
        <f t="shared" si="4"/>
        <v>-0.91688820925361669</v>
      </c>
      <c r="J32" s="8">
        <f t="shared" si="5"/>
        <v>-1.8919827702999552</v>
      </c>
      <c r="K32" s="8">
        <f t="shared" si="6"/>
        <v>-1.1464083563080325</v>
      </c>
    </row>
    <row r="33" spans="8:14" x14ac:dyDescent="0.25">
      <c r="H33" s="41">
        <f t="shared" si="3"/>
        <v>485.96153846153891</v>
      </c>
      <c r="I33" s="8">
        <f t="shared" si="4"/>
        <v>-0.91226080540746279</v>
      </c>
      <c r="J33" s="8">
        <f t="shared" si="5"/>
        <v>-1.8726360018756549</v>
      </c>
      <c r="K33" s="8">
        <f t="shared" si="6"/>
        <v>-1.2063904697451839</v>
      </c>
    </row>
    <row r="34" spans="8:14" x14ac:dyDescent="0.25">
      <c r="H34" s="41">
        <f t="shared" si="3"/>
        <v>488.07692307692355</v>
      </c>
      <c r="I34" s="8">
        <f t="shared" si="4"/>
        <v>-0.90763340156130889</v>
      </c>
      <c r="J34" s="8">
        <f t="shared" si="5"/>
        <v>-1.8533871208404085</v>
      </c>
      <c r="K34" s="8">
        <f t="shared" si="6"/>
        <v>-1.2650813859569185</v>
      </c>
    </row>
    <row r="35" spans="8:14" x14ac:dyDescent="0.25">
      <c r="H35" s="41">
        <f t="shared" si="3"/>
        <v>490.19230769230819</v>
      </c>
      <c r="I35" s="8">
        <f t="shared" si="4"/>
        <v>-0.903005997715155</v>
      </c>
      <c r="J35" s="8">
        <f t="shared" si="5"/>
        <v>-1.8342361271942142</v>
      </c>
      <c r="K35" s="8">
        <f t="shared" si="6"/>
        <v>-1.3224943771400224</v>
      </c>
    </row>
    <row r="36" spans="8:14" x14ac:dyDescent="0.25">
      <c r="H36" s="41">
        <f t="shared" si="3"/>
        <v>492.30769230769283</v>
      </c>
      <c r="I36" s="8">
        <f t="shared" si="4"/>
        <v>-0.8983785938690011</v>
      </c>
      <c r="J36" s="8">
        <f t="shared" si="5"/>
        <v>-1.8151830209370743</v>
      </c>
      <c r="K36" s="8">
        <f t="shared" si="6"/>
        <v>-1.3786426479974463</v>
      </c>
    </row>
    <row r="37" spans="8:14" x14ac:dyDescent="0.25">
      <c r="H37" s="41">
        <f t="shared" si="3"/>
        <v>494.42307692307747</v>
      </c>
      <c r="I37" s="8">
        <f t="shared" si="4"/>
        <v>-0.8937511900228472</v>
      </c>
      <c r="J37" s="8">
        <f t="shared" si="5"/>
        <v>-1.7962278020689875</v>
      </c>
      <c r="K37" s="8">
        <f t="shared" si="6"/>
        <v>-1.4335393357383199</v>
      </c>
    </row>
    <row r="38" spans="8:14" x14ac:dyDescent="0.25">
      <c r="H38" s="41">
        <f t="shared" si="3"/>
        <v>496.53846153846212</v>
      </c>
      <c r="I38" s="8">
        <f t="shared" si="4"/>
        <v>-0.8891237861766933</v>
      </c>
      <c r="J38" s="8">
        <f t="shared" si="5"/>
        <v>-1.7773704705899533</v>
      </c>
      <c r="K38" s="8">
        <f t="shared" si="6"/>
        <v>-1.4871975100779349</v>
      </c>
    </row>
    <row r="39" spans="8:14" x14ac:dyDescent="0.25">
      <c r="H39" s="41">
        <f t="shared" si="3"/>
        <v>498.65384615384676</v>
      </c>
      <c r="I39" s="8">
        <f t="shared" si="4"/>
        <v>-0.8844963823305394</v>
      </c>
      <c r="J39" s="8">
        <f t="shared" si="5"/>
        <v>-1.7586110264999728</v>
      </c>
      <c r="K39" s="8">
        <f t="shared" si="6"/>
        <v>-1.53963017323776</v>
      </c>
    </row>
    <row r="40" spans="8:14" x14ac:dyDescent="0.25">
      <c r="H40" s="41">
        <f t="shared" si="3"/>
        <v>500.7692307692314</v>
      </c>
      <c r="I40" s="8">
        <f t="shared" si="4"/>
        <v>-0.8798689784843855</v>
      </c>
      <c r="J40" s="8">
        <f t="shared" si="5"/>
        <v>-1.7399494697990456</v>
      </c>
      <c r="K40" s="8">
        <f t="shared" si="6"/>
        <v>-1.5908502599454268</v>
      </c>
    </row>
    <row r="41" spans="8:14" x14ac:dyDescent="0.25">
      <c r="H41" s="41">
        <f t="shared" si="3"/>
        <v>502.88461538461604</v>
      </c>
      <c r="I41" s="8">
        <f t="shared" si="4"/>
        <v>-0.8752415746382316</v>
      </c>
      <c r="J41" s="8">
        <f t="shared" si="5"/>
        <v>-1.7213858004871716</v>
      </c>
      <c r="K41" s="8">
        <f t="shared" si="6"/>
        <v>-1.6408706374347504</v>
      </c>
    </row>
    <row r="42" spans="8:14" x14ac:dyDescent="0.25">
      <c r="H42" s="41">
        <f>$C$8-$C$12</f>
        <v>505</v>
      </c>
      <c r="I42" s="8">
        <f t="shared" si="4"/>
        <v>-0.87061417079207915</v>
      </c>
      <c r="J42" s="8">
        <f t="shared" si="5"/>
        <v>-1.7029200185643565</v>
      </c>
      <c r="K42" s="8">
        <f t="shared" si="6"/>
        <v>-1.6897041054456847</v>
      </c>
    </row>
    <row r="43" spans="8:14" x14ac:dyDescent="0.25">
      <c r="H43" s="41">
        <f t="shared" ref="H43:H51" si="7">H42+($H$52-$H$42)/10</f>
        <v>550</v>
      </c>
      <c r="I43" s="8">
        <f t="shared" si="4"/>
        <v>-0.77217667079207919</v>
      </c>
      <c r="J43" s="8">
        <f t="shared" si="5"/>
        <v>-1.3332920792079208</v>
      </c>
      <c r="K43" s="8">
        <f t="shared" si="6"/>
        <v>-2.4701156837496647</v>
      </c>
    </row>
    <row r="44" spans="8:14" x14ac:dyDescent="0.25">
      <c r="H44" s="41">
        <f t="shared" si="7"/>
        <v>595</v>
      </c>
      <c r="I44" s="8">
        <f t="shared" si="4"/>
        <v>-0.67373917079207923</v>
      </c>
      <c r="J44" s="8">
        <f t="shared" si="5"/>
        <v>-1.0079610148514853</v>
      </c>
      <c r="K44" s="8">
        <f t="shared" si="6"/>
        <v>-2.8333604878712819</v>
      </c>
    </row>
    <row r="45" spans="8:14" x14ac:dyDescent="0.25">
      <c r="H45" s="41">
        <f t="shared" si="7"/>
        <v>640</v>
      </c>
      <c r="I45" s="8">
        <f t="shared" si="4"/>
        <v>-0.57530167079207928</v>
      </c>
      <c r="J45" s="8">
        <f t="shared" si="5"/>
        <v>-0.72692682549504961</v>
      </c>
      <c r="K45" s="8">
        <f t="shared" si="6"/>
        <v>-2.8809486053584057</v>
      </c>
    </row>
    <row r="46" spans="8:14" x14ac:dyDescent="0.25">
      <c r="H46" s="41">
        <f t="shared" si="7"/>
        <v>685</v>
      </c>
      <c r="I46" s="8">
        <f t="shared" si="4"/>
        <v>-0.47686417079207927</v>
      </c>
      <c r="J46" s="8">
        <f t="shared" si="5"/>
        <v>-0.49018951113861398</v>
      </c>
      <c r="K46" s="8">
        <f t="shared" si="6"/>
        <v>-2.7005685734921281</v>
      </c>
    </row>
    <row r="47" spans="8:14" x14ac:dyDescent="0.25">
      <c r="H47" s="41">
        <f t="shared" si="7"/>
        <v>730</v>
      </c>
      <c r="I47" s="8">
        <f t="shared" si="4"/>
        <v>-0.37842667079207926</v>
      </c>
      <c r="J47" s="8">
        <f t="shared" si="5"/>
        <v>-0.2977490717821783</v>
      </c>
      <c r="K47" s="8">
        <f t="shared" si="6"/>
        <v>-2.3660873792867601</v>
      </c>
      <c r="N47" s="29"/>
    </row>
    <row r="48" spans="8:14" x14ac:dyDescent="0.25">
      <c r="H48" s="41">
        <f t="shared" si="7"/>
        <v>775</v>
      </c>
      <c r="I48" s="8">
        <f t="shared" si="4"/>
        <v>-0.27998917079207924</v>
      </c>
      <c r="J48" s="8">
        <f t="shared" si="5"/>
        <v>-0.14960550742574266</v>
      </c>
      <c r="K48" s="8">
        <f t="shared" si="6"/>
        <v>-1.9375504594898354</v>
      </c>
      <c r="N48" s="29"/>
    </row>
    <row r="49" spans="8:23" x14ac:dyDescent="0.25">
      <c r="H49" s="41">
        <f t="shared" si="7"/>
        <v>820</v>
      </c>
      <c r="I49" s="8">
        <f t="shared" si="4"/>
        <v>-0.18155167079207923</v>
      </c>
      <c r="J49" s="8">
        <f t="shared" si="5"/>
        <v>-4.575881806930699E-2</v>
      </c>
      <c r="K49" s="8">
        <f t="shared" si="6"/>
        <v>-1.4611817005821095</v>
      </c>
      <c r="N49" s="29"/>
    </row>
    <row r="50" spans="8:23" x14ac:dyDescent="0.25">
      <c r="H50" s="41">
        <f t="shared" si="7"/>
        <v>865</v>
      </c>
      <c r="I50" s="8">
        <f t="shared" si="4"/>
        <v>-8.3114170792079251E-2</v>
      </c>
      <c r="J50" s="8">
        <f t="shared" si="5"/>
        <v>1.379099628712867E-2</v>
      </c>
      <c r="K50" s="8">
        <f t="shared" si="6"/>
        <v>-0.96938343877755884</v>
      </c>
      <c r="N50" s="29"/>
    </row>
    <row r="51" spans="8:23" x14ac:dyDescent="0.25">
      <c r="H51" s="41">
        <f t="shared" si="7"/>
        <v>910</v>
      </c>
      <c r="I51" s="8">
        <f t="shared" si="4"/>
        <v>1.5323329207920747E-2</v>
      </c>
      <c r="J51" s="8">
        <f t="shared" si="5"/>
        <v>2.9043935643564334E-2</v>
      </c>
      <c r="K51" s="8">
        <f t="shared" si="6"/>
        <v>-0.48073646002338266</v>
      </c>
      <c r="N51" s="29"/>
    </row>
    <row r="52" spans="8:23" x14ac:dyDescent="0.25">
      <c r="H52" s="41">
        <f>$C$8</f>
        <v>955</v>
      </c>
      <c r="I52" s="8">
        <f>((($E$11)/1000)*((($C$8-$C$12)/100)^2-($C$12/100)^2))/(2*($C$8-$C$12)/100)</f>
        <v>0.11376082920792074</v>
      </c>
      <c r="J52" s="8">
        <f t="shared" si="5"/>
        <v>0</v>
      </c>
      <c r="K52" s="8">
        <f t="shared" si="6"/>
        <v>0</v>
      </c>
      <c r="N52" s="29"/>
    </row>
    <row r="53" spans="8:23" hidden="1" x14ac:dyDescent="0.25">
      <c r="N53" s="29"/>
    </row>
    <row r="54" spans="8:23" hidden="1" x14ac:dyDescent="0.25">
      <c r="N54" s="29"/>
    </row>
    <row r="55" spans="8:23" hidden="1" x14ac:dyDescent="0.25">
      <c r="N55" s="29"/>
    </row>
    <row r="56" spans="8:23" hidden="1" x14ac:dyDescent="0.25">
      <c r="N56" s="29"/>
    </row>
    <row r="57" spans="8:23" hidden="1" x14ac:dyDescent="0.25">
      <c r="N57" s="29"/>
    </row>
    <row r="58" spans="8:23" hidden="1" x14ac:dyDescent="0.25">
      <c r="N58" s="29"/>
    </row>
    <row r="63" spans="8:23" hidden="1" x14ac:dyDescent="0.25">
      <c r="N63"/>
      <c r="P63"/>
      <c r="Q63"/>
      <c r="R63"/>
      <c r="S63"/>
      <c r="T63"/>
      <c r="U63"/>
      <c r="V63"/>
      <c r="W63"/>
    </row>
    <row r="86" spans="2:12" hidden="1" x14ac:dyDescent="0.25">
      <c r="B86"/>
      <c r="C86"/>
      <c r="D86"/>
      <c r="E86"/>
      <c r="F86"/>
      <c r="G86"/>
      <c r="H86"/>
      <c r="I86"/>
      <c r="J86"/>
      <c r="K86"/>
      <c r="L86"/>
    </row>
    <row r="87" spans="2:12" hidden="1" x14ac:dyDescent="0.25">
      <c r="B87"/>
      <c r="C87"/>
      <c r="D87"/>
      <c r="E87"/>
      <c r="F87"/>
      <c r="G87"/>
      <c r="H87"/>
      <c r="I87"/>
      <c r="J87"/>
      <c r="K87"/>
      <c r="L87"/>
    </row>
    <row r="88" spans="2:12" hidden="1" x14ac:dyDescent="0.25">
      <c r="B88"/>
      <c r="C88"/>
      <c r="D88"/>
      <c r="E88"/>
      <c r="F88"/>
      <c r="G88"/>
      <c r="H88"/>
      <c r="I88"/>
      <c r="J88"/>
      <c r="K88"/>
      <c r="L88"/>
    </row>
    <row r="89" spans="2:12" hidden="1" x14ac:dyDescent="0.25">
      <c r="B89"/>
      <c r="C89"/>
      <c r="D89"/>
      <c r="E89"/>
      <c r="F89"/>
      <c r="G89"/>
      <c r="H89"/>
      <c r="I89"/>
      <c r="J89"/>
      <c r="K89"/>
      <c r="L89"/>
    </row>
    <row r="90" spans="2:12" hidden="1" x14ac:dyDescent="0.25">
      <c r="B90"/>
      <c r="C90"/>
      <c r="D90"/>
      <c r="E90"/>
      <c r="F90"/>
      <c r="G90"/>
      <c r="H90"/>
      <c r="I90"/>
      <c r="J90"/>
      <c r="K90"/>
      <c r="L90"/>
    </row>
    <row r="91" spans="2:12" hidden="1" x14ac:dyDescent="0.25">
      <c r="B91"/>
      <c r="C91"/>
      <c r="D91"/>
      <c r="E91"/>
      <c r="F91"/>
      <c r="G91"/>
      <c r="H91"/>
      <c r="I91"/>
      <c r="J91"/>
      <c r="K91"/>
      <c r="L91"/>
    </row>
    <row r="92" spans="2:12" hidden="1" x14ac:dyDescent="0.25">
      <c r="B92"/>
      <c r="C92"/>
      <c r="D92"/>
      <c r="E92"/>
      <c r="F92"/>
      <c r="G92"/>
      <c r="H92"/>
      <c r="I92"/>
      <c r="J92"/>
      <c r="K92"/>
      <c r="L92"/>
    </row>
    <row r="93" spans="2:12" hidden="1" x14ac:dyDescent="0.25">
      <c r="B93"/>
      <c r="C93"/>
      <c r="D93"/>
      <c r="E93"/>
      <c r="F93"/>
      <c r="G93"/>
      <c r="H93"/>
      <c r="I93"/>
      <c r="J93"/>
      <c r="K93"/>
      <c r="L93"/>
    </row>
    <row r="94" spans="2:12" hidden="1" x14ac:dyDescent="0.25">
      <c r="B94"/>
      <c r="C94"/>
      <c r="D94"/>
      <c r="E94"/>
      <c r="F94"/>
      <c r="G94"/>
      <c r="H94"/>
      <c r="I94"/>
      <c r="J94"/>
      <c r="K94"/>
      <c r="L94"/>
    </row>
    <row r="95" spans="2:12" hidden="1" x14ac:dyDescent="0.25">
      <c r="B95"/>
      <c r="C95"/>
      <c r="D95"/>
      <c r="E95"/>
      <c r="F95"/>
      <c r="G95"/>
      <c r="H95"/>
      <c r="I95"/>
      <c r="J95"/>
      <c r="K95"/>
      <c r="L95"/>
    </row>
    <row r="96" spans="2:12" hidden="1" x14ac:dyDescent="0.25">
      <c r="B96"/>
      <c r="C96"/>
      <c r="D96"/>
      <c r="E96"/>
      <c r="F96"/>
      <c r="G96"/>
      <c r="H96"/>
      <c r="I96"/>
      <c r="J96"/>
      <c r="K96"/>
      <c r="L96"/>
    </row>
    <row r="97" spans="2:12" hidden="1" x14ac:dyDescent="0.25">
      <c r="B97"/>
      <c r="C97"/>
      <c r="D97"/>
      <c r="E97"/>
      <c r="F97"/>
      <c r="G97"/>
      <c r="H97"/>
      <c r="I97"/>
      <c r="J97"/>
      <c r="K97"/>
      <c r="L97"/>
    </row>
    <row r="98" spans="2:12" hidden="1" x14ac:dyDescent="0.25">
      <c r="B98"/>
      <c r="C98"/>
      <c r="D98"/>
      <c r="E98"/>
      <c r="F98"/>
      <c r="G98"/>
      <c r="H98"/>
      <c r="I98"/>
      <c r="J98"/>
      <c r="K98"/>
      <c r="L98"/>
    </row>
    <row r="99" spans="2:12" hidden="1" x14ac:dyDescent="0.25">
      <c r="B99"/>
      <c r="C99"/>
      <c r="D99"/>
      <c r="E99"/>
      <c r="F99"/>
      <c r="G99"/>
      <c r="H99"/>
      <c r="I99"/>
      <c r="J99"/>
      <c r="K99"/>
      <c r="L99"/>
    </row>
    <row r="100" spans="2:12" hidden="1" x14ac:dyDescent="0.25">
      <c r="B100"/>
      <c r="C100"/>
      <c r="D100"/>
      <c r="E100"/>
      <c r="F100"/>
      <c r="G100"/>
      <c r="H100"/>
      <c r="I100"/>
      <c r="J100"/>
      <c r="K100"/>
      <c r="L100"/>
    </row>
    <row r="101" spans="2:12" hidden="1" x14ac:dyDescent="0.25">
      <c r="B101"/>
      <c r="C101"/>
      <c r="D101"/>
      <c r="E101"/>
      <c r="F101"/>
      <c r="G101"/>
      <c r="H101"/>
      <c r="I101"/>
      <c r="J101"/>
      <c r="K101"/>
      <c r="L101"/>
    </row>
    <row r="102" spans="2:12" hidden="1" x14ac:dyDescent="0.25">
      <c r="B102"/>
      <c r="C102"/>
      <c r="D102"/>
      <c r="E102"/>
      <c r="F102"/>
      <c r="G102"/>
      <c r="H102"/>
      <c r="I102"/>
      <c r="J102"/>
      <c r="K102"/>
      <c r="L102"/>
    </row>
    <row r="103" spans="2:12" hidden="1" x14ac:dyDescent="0.25">
      <c r="B103"/>
      <c r="C103"/>
      <c r="D103"/>
      <c r="E103"/>
      <c r="F103"/>
      <c r="G103"/>
      <c r="H103"/>
      <c r="I103"/>
      <c r="J103"/>
      <c r="K103"/>
      <c r="L103"/>
    </row>
    <row r="104" spans="2:12" hidden="1" x14ac:dyDescent="0.25">
      <c r="B104"/>
      <c r="C104"/>
      <c r="D104"/>
      <c r="E104"/>
      <c r="F104"/>
      <c r="G104"/>
      <c r="H104"/>
      <c r="I104"/>
      <c r="J104"/>
      <c r="K104"/>
      <c r="L104"/>
    </row>
    <row r="105" spans="2:12" hidden="1" x14ac:dyDescent="0.25">
      <c r="B105"/>
      <c r="C105"/>
      <c r="D105"/>
      <c r="E105"/>
      <c r="F105"/>
      <c r="G105"/>
      <c r="H105"/>
      <c r="I105"/>
      <c r="J105"/>
      <c r="K105"/>
      <c r="L105"/>
    </row>
    <row r="106" spans="2:12" hidden="1" x14ac:dyDescent="0.25">
      <c r="B106"/>
      <c r="C106"/>
      <c r="D106"/>
      <c r="E106"/>
      <c r="F106"/>
      <c r="G106"/>
      <c r="H106"/>
      <c r="I106"/>
      <c r="J106"/>
      <c r="K106"/>
      <c r="L106"/>
    </row>
    <row r="107" spans="2:12" hidden="1" x14ac:dyDescent="0.25">
      <c r="B107"/>
      <c r="C107"/>
      <c r="D107"/>
      <c r="E107"/>
      <c r="F107"/>
      <c r="G107"/>
      <c r="H107"/>
      <c r="I107"/>
      <c r="J107"/>
      <c r="K107"/>
      <c r="L107"/>
    </row>
    <row r="108" spans="2:12" hidden="1" x14ac:dyDescent="0.25">
      <c r="B108"/>
      <c r="C108"/>
      <c r="D108"/>
      <c r="E108"/>
      <c r="F108"/>
      <c r="G108"/>
      <c r="H108"/>
      <c r="I108"/>
      <c r="J108"/>
      <c r="K108"/>
      <c r="L108"/>
    </row>
    <row r="109" spans="2:12" hidden="1" x14ac:dyDescent="0.25">
      <c r="B109"/>
      <c r="C109"/>
      <c r="D109"/>
      <c r="E109"/>
      <c r="F109"/>
      <c r="G109"/>
      <c r="H109"/>
      <c r="I109"/>
      <c r="J109"/>
      <c r="K109"/>
      <c r="L109"/>
    </row>
    <row r="110" spans="2:12" hidden="1" x14ac:dyDescent="0.25">
      <c r="B110"/>
      <c r="C110"/>
      <c r="D110"/>
      <c r="E110"/>
      <c r="F110"/>
      <c r="G110"/>
      <c r="H110"/>
      <c r="I110"/>
      <c r="J110"/>
      <c r="K110"/>
      <c r="L110"/>
    </row>
    <row r="111" spans="2:12" hidden="1" x14ac:dyDescent="0.25">
      <c r="B111"/>
      <c r="C111"/>
      <c r="D111"/>
      <c r="E111"/>
      <c r="F111"/>
      <c r="G111"/>
      <c r="H111"/>
      <c r="I111"/>
      <c r="J111"/>
      <c r="K111"/>
      <c r="L111"/>
    </row>
    <row r="112" spans="2:12" hidden="1" x14ac:dyDescent="0.25">
      <c r="B112"/>
      <c r="C112"/>
      <c r="D112"/>
      <c r="E112"/>
      <c r="F112"/>
      <c r="G112"/>
      <c r="H112"/>
      <c r="I112"/>
      <c r="J112"/>
      <c r="K112"/>
      <c r="L112"/>
    </row>
    <row r="113" spans="2:12" hidden="1" x14ac:dyDescent="0.25">
      <c r="B113"/>
      <c r="C113"/>
      <c r="D113"/>
      <c r="E113"/>
      <c r="F113"/>
      <c r="G113"/>
      <c r="H113"/>
      <c r="I113"/>
      <c r="J113"/>
      <c r="K113"/>
      <c r="L113"/>
    </row>
    <row r="114" spans="2:12" hidden="1" x14ac:dyDescent="0.25">
      <c r="B114"/>
      <c r="C114"/>
      <c r="D114"/>
      <c r="E114"/>
      <c r="F114"/>
      <c r="G114"/>
      <c r="H114"/>
      <c r="I114"/>
      <c r="J114"/>
      <c r="K114"/>
      <c r="L114"/>
    </row>
    <row r="115" spans="2:12" hidden="1" x14ac:dyDescent="0.25">
      <c r="B115"/>
      <c r="C115"/>
      <c r="D115"/>
      <c r="E115"/>
      <c r="F115"/>
      <c r="G115"/>
      <c r="H115"/>
      <c r="I115"/>
      <c r="J115"/>
      <c r="K115"/>
      <c r="L115"/>
    </row>
    <row r="116" spans="2:12" hidden="1" x14ac:dyDescent="0.25">
      <c r="B116"/>
      <c r="C116"/>
      <c r="D116"/>
      <c r="E116"/>
      <c r="F116"/>
      <c r="G116"/>
      <c r="H116"/>
      <c r="I116"/>
      <c r="J116"/>
      <c r="K116"/>
      <c r="L116"/>
    </row>
    <row r="117" spans="2:12" hidden="1" x14ac:dyDescent="0.25">
      <c r="B117"/>
      <c r="C117"/>
      <c r="D117"/>
      <c r="E117"/>
      <c r="F117"/>
      <c r="G117"/>
      <c r="H117"/>
      <c r="I117"/>
      <c r="J117"/>
      <c r="K117"/>
      <c r="L117"/>
    </row>
    <row r="118" spans="2:12" hidden="1" x14ac:dyDescent="0.25">
      <c r="B118"/>
      <c r="C118"/>
      <c r="D118"/>
      <c r="E118"/>
      <c r="F118"/>
      <c r="G118"/>
      <c r="H118"/>
      <c r="I118"/>
      <c r="J118"/>
      <c r="K118"/>
      <c r="L118"/>
    </row>
    <row r="119" spans="2:12" hidden="1" x14ac:dyDescent="0.25">
      <c r="B119"/>
      <c r="C119"/>
      <c r="D119"/>
      <c r="E119"/>
      <c r="F119"/>
      <c r="G119"/>
      <c r="H119"/>
      <c r="I119"/>
      <c r="J119"/>
      <c r="K119"/>
      <c r="L119"/>
    </row>
    <row r="120" spans="2:12" hidden="1" x14ac:dyDescent="0.25">
      <c r="B120"/>
      <c r="C120"/>
      <c r="D120"/>
      <c r="E120"/>
      <c r="F120"/>
      <c r="G120"/>
      <c r="H120"/>
      <c r="I120"/>
      <c r="J120"/>
      <c r="K120"/>
      <c r="L120"/>
    </row>
    <row r="121" spans="2:12" hidden="1" x14ac:dyDescent="0.25">
      <c r="B121"/>
      <c r="C121"/>
      <c r="D121"/>
      <c r="E121"/>
      <c r="F121"/>
      <c r="G121"/>
      <c r="H121"/>
      <c r="I121"/>
      <c r="J121"/>
      <c r="K121"/>
      <c r="L121"/>
    </row>
    <row r="122" spans="2:12" hidden="1" x14ac:dyDescent="0.25">
      <c r="B122"/>
      <c r="C122"/>
      <c r="D122"/>
      <c r="E122"/>
      <c r="F122"/>
      <c r="G122"/>
      <c r="H122"/>
      <c r="I122"/>
      <c r="J122"/>
      <c r="K122"/>
      <c r="L122"/>
    </row>
    <row r="123" spans="2:12" hidden="1" x14ac:dyDescent="0.25">
      <c r="B123"/>
      <c r="C123"/>
      <c r="D123"/>
      <c r="E123"/>
      <c r="F123"/>
      <c r="G123"/>
      <c r="H123"/>
      <c r="I123"/>
      <c r="J123"/>
      <c r="K123"/>
      <c r="L123"/>
    </row>
    <row r="124" spans="2:12" hidden="1" x14ac:dyDescent="0.25">
      <c r="B124"/>
      <c r="C124"/>
      <c r="D124"/>
      <c r="E124"/>
      <c r="F124"/>
      <c r="G124"/>
      <c r="H124"/>
      <c r="I124"/>
      <c r="J124"/>
      <c r="K124"/>
      <c r="L124"/>
    </row>
  </sheetData>
  <sheetProtection algorithmName="SHA-512" hashValue="4nenrJ+otBHCJVgKXOAPl63eY3GBc5X8Je+75HFUR4HjHmqaKI6R2hs1kF7nZcJT59QjfA2p5ucXDNu/xjo2TQ==" saltValue="SbHkbyU5KcMkV3hC/iAeyA==" spinCount="100000" sheet="1" objects="1" scenarios="1" selectLockedCells="1"/>
  <mergeCells count="11">
    <mergeCell ref="B20:G20"/>
    <mergeCell ref="L5:N5"/>
    <mergeCell ref="P4:Q4"/>
    <mergeCell ref="S4:T4"/>
    <mergeCell ref="V4:W4"/>
    <mergeCell ref="S16:T16"/>
    <mergeCell ref="P18:T18"/>
    <mergeCell ref="B4:G4"/>
    <mergeCell ref="C5:F5"/>
    <mergeCell ref="H4:N4"/>
    <mergeCell ref="M13:N13"/>
  </mergeCells>
  <conditionalFormatting sqref="C12">
    <cfRule type="cellIs" dxfId="11" priority="12" operator="greaterThan">
      <formula>500</formula>
    </cfRule>
  </conditionalFormatting>
  <conditionalFormatting sqref="C11">
    <cfRule type="cellIs" dxfId="10" priority="10" operator="greaterThan">
      <formula>500</formula>
    </cfRule>
  </conditionalFormatting>
  <conditionalFormatting sqref="N7">
    <cfRule type="cellIs" dxfId="9" priority="6" operator="lessThan">
      <formula>$M$7</formula>
    </cfRule>
    <cfRule type="cellIs" dxfId="8" priority="7" operator="greaterThan">
      <formula>$M$7</formula>
    </cfRule>
  </conditionalFormatting>
  <conditionalFormatting sqref="J6:J52">
    <cfRule type="dataBar" priority="3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{FE61C2C2-DB82-4C2F-82A3-5A3819BC33DC}</x14:id>
        </ext>
      </extLst>
    </cfRule>
  </conditionalFormatting>
  <conditionalFormatting sqref="N9">
    <cfRule type="cellIs" dxfId="7" priority="13" operator="lessThan">
      <formula>$M$9</formula>
    </cfRule>
    <cfRule type="cellIs" dxfId="6" priority="14" operator="greaterThan">
      <formula>$M$9</formula>
    </cfRule>
  </conditionalFormatting>
  <dataValidations xWindow="291" yWindow="543" count="5">
    <dataValidation type="list" allowBlank="1" showInputMessage="1" showErrorMessage="1" sqref="G8" xr:uid="{D9C8DAF4-9B3F-4006-AB7E-108012E2BBD1}">
      <formula1>"Basalto e Diabásio,Granito e Gnaisse,Calcário,Arenito"</formula1>
    </dataValidation>
    <dataValidation allowBlank="1" sqref="C10" xr:uid="{5470A956-7586-42BF-AC0B-9EC5E9F85FB5}"/>
    <dataValidation allowBlank="1" showInputMessage="1" showErrorMessage="1" prompt="Menor seção transversal do pilar" sqref="C7" xr:uid="{255BCB97-32D0-462F-A9F2-2EA971171AF5}"/>
    <dataValidation allowBlank="1" showInputMessage="1" showErrorMessage="1" prompt="Inserir Fck,j referente a data de verificação" sqref="G7" xr:uid="{BC58AAAB-6402-4334-B219-3DB094F9ED11}"/>
    <dataValidation allowBlank="1" showInputMessage="1" showErrorMessage="1" prompt="Carga adicional de consoles. Pode ser utilizado também para diminuir o peso do pilar._x000a_" sqref="E10" xr:uid="{26DC9897-DD1A-4E80-9673-5C2303F15DFA}"/>
  </dataValidations>
  <printOptions horizontalCentered="1" verticalCentered="1"/>
  <pageMargins left="0.25" right="0.25" top="0.75" bottom="0.75" header="0.3" footer="0.3"/>
  <pageSetup paperSize="9" scale="97" fitToWidth="0" fitToHeight="0" orientation="portrait" r:id="rId1"/>
  <rowBreaks count="1" manualBreakCount="1">
    <brk id="106" min="1" max="13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61C2C2-DB82-4C2F-82A3-5A3819BC33DC}">
            <x14:dataBar minLength="0" maxLength="100" gradient="0">
              <x14:cfvo type="autoMin"/>
              <x14:cfvo type="autoMax"/>
              <x14:negativeFillColor rgb="FFFF7C80"/>
              <x14:axisColor theme="0"/>
            </x14:dataBar>
          </x14:cfRule>
          <xm:sqref>J6:J52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8CE2A-F906-4F21-AF9B-B4AB0B0C21FF}">
  <sheetPr codeName="Planilha3"/>
  <dimension ref="A1:W124"/>
  <sheetViews>
    <sheetView showGridLines="0" showRowColHeaders="0" zoomScale="110" zoomScaleNormal="110" zoomScaleSheetLayoutView="110" workbookViewId="0">
      <selection activeCell="C8" sqref="C8"/>
    </sheetView>
  </sheetViews>
  <sheetFormatPr defaultColWidth="0" defaultRowHeight="15" customHeight="1" zeroHeight="1" x14ac:dyDescent="0.25"/>
  <cols>
    <col min="1" max="1" width="5.7109375" style="1" customWidth="1"/>
    <col min="2" max="7" width="16.7109375" style="1" customWidth="1"/>
    <col min="8" max="8" width="5.85546875" style="1" bestFit="1" customWidth="1"/>
    <col min="9" max="11" width="14.28515625" style="1" customWidth="1"/>
    <col min="12" max="14" width="16.7109375" style="1" customWidth="1"/>
    <col min="15" max="15" width="14.28515625" hidden="1" customWidth="1"/>
    <col min="16" max="16384" width="13.7109375" style="1" hidden="1"/>
  </cols>
  <sheetData>
    <row r="1" spans="2:23" ht="15" customHeight="1" x14ac:dyDescent="0.25"/>
    <row r="2" spans="2:23" ht="20.100000000000001" customHeight="1" x14ac:dyDescent="0.25"/>
    <row r="3" spans="2:23" ht="15" customHeight="1" x14ac:dyDescent="0.25"/>
    <row r="4" spans="2:23" x14ac:dyDescent="0.25">
      <c r="B4" s="91" t="s">
        <v>71</v>
      </c>
      <c r="C4" s="91"/>
      <c r="D4" s="91"/>
      <c r="E4" s="91"/>
      <c r="F4" s="91"/>
      <c r="G4" s="91"/>
      <c r="H4" s="91" t="s">
        <v>70</v>
      </c>
      <c r="I4" s="91"/>
      <c r="J4" s="91"/>
      <c r="K4" s="91"/>
      <c r="L4" s="91"/>
      <c r="M4" s="91"/>
      <c r="N4" s="91"/>
      <c r="P4" s="92" t="s">
        <v>19</v>
      </c>
      <c r="Q4" s="92"/>
      <c r="R4"/>
      <c r="S4" s="92" t="s">
        <v>20</v>
      </c>
      <c r="T4" s="92"/>
      <c r="U4"/>
      <c r="V4" s="92" t="s">
        <v>21</v>
      </c>
      <c r="W4" s="92"/>
    </row>
    <row r="5" spans="2:23" ht="15.75" x14ac:dyDescent="0.3">
      <c r="B5" s="54" t="s">
        <v>57</v>
      </c>
      <c r="C5" s="93" t="s">
        <v>14</v>
      </c>
      <c r="D5" s="93"/>
      <c r="E5" s="93"/>
      <c r="F5" s="93"/>
      <c r="G5" s="54" t="s">
        <v>15</v>
      </c>
      <c r="H5" s="53" t="s">
        <v>63</v>
      </c>
      <c r="I5" s="53" t="s">
        <v>9</v>
      </c>
      <c r="J5" s="53" t="s">
        <v>10</v>
      </c>
      <c r="K5" s="53" t="s">
        <v>64</v>
      </c>
      <c r="L5" s="91" t="s">
        <v>62</v>
      </c>
      <c r="M5" s="91"/>
      <c r="N5" s="91"/>
      <c r="P5" s="2" t="s">
        <v>22</v>
      </c>
      <c r="Q5" s="3">
        <v>0</v>
      </c>
      <c r="R5"/>
      <c r="S5" s="4" t="s">
        <v>23</v>
      </c>
      <c r="T5" s="5">
        <f>G7</f>
        <v>15</v>
      </c>
      <c r="U5"/>
      <c r="V5" s="6" t="s">
        <v>24</v>
      </c>
      <c r="W5" s="7">
        <f>$T$19*$Q$19+$T$20*$Q$20+$T$21*$Q$21+$T$22*$Q$22+$T$23*$Q$23</f>
        <v>171.20747222222226</v>
      </c>
    </row>
    <row r="6" spans="2:23" ht="15.75" x14ac:dyDescent="0.3">
      <c r="H6" s="41">
        <v>0</v>
      </c>
      <c r="I6" s="8">
        <v>0</v>
      </c>
      <c r="J6" s="8">
        <f>-(($E$11)*((H6/100)^2)/2)/1000</f>
        <v>0</v>
      </c>
      <c r="K6" s="8">
        <f>1000000000*(((($E$11)/1000)*(($C$12-H6)/100))/($L$7*24*$G$10*$G$11))*((6*(($C$12/100)^2)*((($C$8-($C$12+$C$12)+($C$12-H6))/100))-(((($C$12-H6)/100)^2)*((4*($C$12/100))-(($C$12-H6)/100)))-((($C$8-($C$12+$C$12))/100)^3)))</f>
        <v>6.8260855218069372</v>
      </c>
      <c r="L6" s="9" t="s">
        <v>58</v>
      </c>
      <c r="M6" s="9" t="s">
        <v>66</v>
      </c>
      <c r="N6" s="10" t="s">
        <v>59</v>
      </c>
      <c r="P6" s="2" t="s">
        <v>25</v>
      </c>
      <c r="Q6" s="3">
        <v>0</v>
      </c>
      <c r="R6"/>
      <c r="S6" s="4" t="s">
        <v>26</v>
      </c>
      <c r="T6" s="1" t="str">
        <f>IF(T5&lt;=50,"I","II")</f>
        <v>I</v>
      </c>
      <c r="U6"/>
      <c r="V6" s="6" t="s">
        <v>27</v>
      </c>
      <c r="W6" s="7">
        <f>(0.68*$Q$6/$T$7/($Q$7-$Q$9)-0.272*($Q$6/$T$7/($Q$7-$Q$9))^2)*$Q$5*($Q$7-$Q$9)^2*$T$5*1000/1.4</f>
        <v>0</v>
      </c>
    </row>
    <row r="7" spans="2:23" x14ac:dyDescent="0.25">
      <c r="B7" s="11" t="s">
        <v>56</v>
      </c>
      <c r="C7" s="32">
        <v>40</v>
      </c>
      <c r="D7" s="32">
        <v>80</v>
      </c>
      <c r="F7" s="11" t="s">
        <v>12</v>
      </c>
      <c r="G7" s="34">
        <v>15</v>
      </c>
      <c r="H7" s="41">
        <f>$H$16/10</f>
        <v>55.666666666666671</v>
      </c>
      <c r="I7" s="8">
        <f t="shared" ref="I7:I15" si="0">(($E$11)/1000)*(H7/100)</f>
        <v>0.47316666666666674</v>
      </c>
      <c r="J7" s="8">
        <f t="shared" ref="J7:J16" si="1">-(($E$11)*((H7/100)^2)/2)/1000</f>
        <v>-0.13169805555555558</v>
      </c>
      <c r="K7" s="8">
        <f t="shared" ref="K7:K16" si="2">1000000000*(((($E$11)/1000)*(($C$12-H7)/100))/($L$7*24*$G$10*$G$11))*((6*(($C$12/100)^2)*((($C$8-($C$12+$C$12)+($C$12-H7))/100))-(((($C$12-H7)/100)^2)*((4*($C$12/100))-(($C$12-H7)/100)))-((($C$8-($C$12+$C$12))/100)^3)))</f>
        <v>5.8694919184061742</v>
      </c>
      <c r="L7" s="37">
        <v>0.4</v>
      </c>
      <c r="M7" s="36">
        <v>700</v>
      </c>
      <c r="N7" s="12">
        <f>1/((LARGE(K6:K52,1)/10)/C8)</f>
        <v>3345.383151268652</v>
      </c>
      <c r="P7" s="2" t="s">
        <v>28</v>
      </c>
      <c r="Q7" s="3">
        <f>D7/100</f>
        <v>0.8</v>
      </c>
      <c r="R7"/>
      <c r="S7" s="13" t="s">
        <v>29</v>
      </c>
      <c r="T7" s="14">
        <f>IF(T5&lt;=50,0.8,0.8-(T5-50)/400)</f>
        <v>0.8</v>
      </c>
      <c r="U7"/>
      <c r="V7" s="6" t="s">
        <v>30</v>
      </c>
      <c r="W7" s="7" t="str">
        <f>IF($W$6&gt;=$W$5,"LN na Mesa","LN na Alma")</f>
        <v>LN na Alma</v>
      </c>
    </row>
    <row r="8" spans="2:23" ht="15.75" x14ac:dyDescent="0.3">
      <c r="B8" s="11" t="s">
        <v>0</v>
      </c>
      <c r="C8" s="32">
        <v>2500</v>
      </c>
      <c r="G8" s="35" t="s">
        <v>18</v>
      </c>
      <c r="H8" s="41">
        <f>2*$H$16/10</f>
        <v>111.33333333333334</v>
      </c>
      <c r="I8" s="8">
        <f t="shared" si="0"/>
        <v>0.94633333333333347</v>
      </c>
      <c r="J8" s="8">
        <f t="shared" si="1"/>
        <v>-0.52679222222222233</v>
      </c>
      <c r="K8" s="8">
        <f t="shared" si="2"/>
        <v>4.9167379453528559</v>
      </c>
      <c r="L8" s="15" t="s">
        <v>5</v>
      </c>
      <c r="M8" s="10" t="s">
        <v>17</v>
      </c>
      <c r="N8" s="10" t="s">
        <v>16</v>
      </c>
      <c r="P8" s="2" t="s">
        <v>31</v>
      </c>
      <c r="Q8" s="3">
        <f>C7/100</f>
        <v>0.4</v>
      </c>
      <c r="R8"/>
      <c r="S8" s="4" t="s">
        <v>32</v>
      </c>
      <c r="T8" s="14">
        <f>IF(T5&lt;=50,0.85,0.85*(1-(T5-50)/200))</f>
        <v>0.85</v>
      </c>
      <c r="U8"/>
      <c r="V8" s="6" t="s">
        <v>33</v>
      </c>
      <c r="W8" s="16">
        <f>IF($W$6&gt;=$W$5,0,$T$8*$T$5*1000/1.4*$Q$6*($Q$5-$Q$8)*($Q$7-$Q$9-$Q$6/2))</f>
        <v>0</v>
      </c>
    </row>
    <row r="9" spans="2:23" ht="15.75" x14ac:dyDescent="0.25">
      <c r="F9" s="11" t="s">
        <v>3</v>
      </c>
      <c r="G9" s="42">
        <f>MIN((0.8+0.2*(G7/80)),1)</f>
        <v>0.83750000000000002</v>
      </c>
      <c r="H9" s="41">
        <f>3*$H$16/10</f>
        <v>167.00000000000003</v>
      </c>
      <c r="I9" s="8">
        <f t="shared" si="0"/>
        <v>1.4195000000000002</v>
      </c>
      <c r="J9" s="8">
        <f t="shared" si="1"/>
        <v>-1.1852825000000005</v>
      </c>
      <c r="K9" s="8">
        <f t="shared" si="2"/>
        <v>3.9776969378260492</v>
      </c>
      <c r="L9" s="38">
        <v>0.25</v>
      </c>
      <c r="M9" s="43">
        <f>IF(W23&gt;W24,W23,W24)</f>
        <v>9.5481717802263475</v>
      </c>
      <c r="N9" s="18">
        <f>(((N11/20)^2*PI())*M11)+(((N12/20)^2*PI())*M12)</f>
        <v>18.849555921538759</v>
      </c>
      <c r="P9" s="2" t="s">
        <v>34</v>
      </c>
      <c r="Q9" s="3">
        <v>0.05</v>
      </c>
      <c r="R9"/>
      <c r="S9" s="4" t="s">
        <v>35</v>
      </c>
      <c r="T9" s="1">
        <f>IF(T5&lt;=50,0.45,0.35)</f>
        <v>0.45</v>
      </c>
      <c r="U9"/>
      <c r="V9" s="6" t="s">
        <v>36</v>
      </c>
      <c r="W9" s="16">
        <f>$W$5-$W$8</f>
        <v>171.20747222222226</v>
      </c>
    </row>
    <row r="10" spans="2:23" x14ac:dyDescent="0.25">
      <c r="B10" s="11" t="s">
        <v>54</v>
      </c>
      <c r="C10" s="52">
        <v>20</v>
      </c>
      <c r="D10" s="11" t="s">
        <v>6</v>
      </c>
      <c r="E10" s="33">
        <v>50</v>
      </c>
      <c r="F10" s="11" t="s">
        <v>4</v>
      </c>
      <c r="G10" s="44">
        <f>IF(G7&lt;51,(IF(G8="Basalto e Diabásio",1.2,IF(G8="Granito e Gnaisse",1,IF(G8="Calcário",0.9,0.7)))*G9*5600*SQRT(G7)),(21.5*1000*IF(G8="Basalto e Diabásio",1.2,IF(G8="Granito e Gnaisse",1,IF(G8="Calcário",0.9,0.7)))*(((G7/10)+1.25)^(1/3))))</f>
        <v>18164.291893712787</v>
      </c>
      <c r="H10" s="41">
        <f>4*$H$16/10</f>
        <v>222.66666666666669</v>
      </c>
      <c r="I10" s="8">
        <f t="shared" si="0"/>
        <v>1.8926666666666669</v>
      </c>
      <c r="J10" s="8">
        <f t="shared" si="1"/>
        <v>-2.1071688888888893</v>
      </c>
      <c r="K10" s="8">
        <f t="shared" si="2"/>
        <v>3.0688244544576126</v>
      </c>
      <c r="L10"/>
      <c r="N10" s="55"/>
      <c r="P10" s="2"/>
      <c r="Q10" s="3"/>
      <c r="R10"/>
      <c r="S10" s="4"/>
      <c r="U10"/>
      <c r="V10" s="6"/>
      <c r="W10" s="16"/>
    </row>
    <row r="11" spans="2:23" x14ac:dyDescent="0.25">
      <c r="B11" s="11" t="s">
        <v>55</v>
      </c>
      <c r="C11" s="49">
        <f>IF((C10*0.01*C8)&gt;500,500,C10*0.01*C8)</f>
        <v>500</v>
      </c>
      <c r="D11" s="11" t="s">
        <v>7</v>
      </c>
      <c r="E11" s="47">
        <f>((C7*D7)*2500/10000)+(E10)</f>
        <v>850</v>
      </c>
      <c r="F11" s="11" t="s">
        <v>2</v>
      </c>
      <c r="G11" s="45">
        <f>(C7*D7^3)/12</f>
        <v>1706666.6666666667</v>
      </c>
      <c r="H11" s="41">
        <f>5*$H$16/10</f>
        <v>278.33333333333337</v>
      </c>
      <c r="I11" s="8">
        <f t="shared" si="0"/>
        <v>2.3658333333333337</v>
      </c>
      <c r="J11" s="8">
        <f t="shared" si="1"/>
        <v>-3.2924513888888898</v>
      </c>
      <c r="K11" s="8">
        <f t="shared" si="2"/>
        <v>2.2131582773321195</v>
      </c>
      <c r="L11" s="19" t="s">
        <v>67</v>
      </c>
      <c r="M11" s="39">
        <v>4</v>
      </c>
      <c r="N11" s="40">
        <v>20</v>
      </c>
      <c r="P11" s="2"/>
      <c r="Q11" s="3"/>
      <c r="R11"/>
      <c r="S11" s="4"/>
      <c r="U11"/>
      <c r="V11" s="6"/>
      <c r="W11" s="16"/>
    </row>
    <row r="12" spans="2:23" x14ac:dyDescent="0.25">
      <c r="B12" s="11" t="s">
        <v>1</v>
      </c>
      <c r="C12" s="32">
        <v>556.66666666666674</v>
      </c>
      <c r="D12" s="11" t="s">
        <v>8</v>
      </c>
      <c r="E12" s="48">
        <f>(E11/1000)*(C8/100)</f>
        <v>21.25</v>
      </c>
      <c r="F12" s="11" t="s">
        <v>11</v>
      </c>
      <c r="G12" s="46">
        <f>(1.5*0.21*G7^(2/3)*G11)/(D7/2)/10000</f>
        <v>8.1744794820506499</v>
      </c>
      <c r="H12" s="41">
        <f>6*$H$16/10</f>
        <v>334.00000000000006</v>
      </c>
      <c r="I12" s="8">
        <f t="shared" si="0"/>
        <v>2.8390000000000004</v>
      </c>
      <c r="J12" s="8">
        <f t="shared" si="1"/>
        <v>-4.7411300000000018</v>
      </c>
      <c r="K12" s="8">
        <f t="shared" si="2"/>
        <v>1.4403184119868613</v>
      </c>
      <c r="L12" s="19" t="s">
        <v>68</v>
      </c>
      <c r="M12" s="39">
        <v>2</v>
      </c>
      <c r="N12" s="40">
        <v>20</v>
      </c>
      <c r="P12" s="2"/>
      <c r="Q12" s="3"/>
      <c r="R12"/>
      <c r="S12" s="4"/>
      <c r="U12"/>
      <c r="V12" s="6"/>
      <c r="W12" s="16"/>
    </row>
    <row r="13" spans="2:23" x14ac:dyDescent="0.25">
      <c r="H13" s="41">
        <f>7*$H$16/10</f>
        <v>389.66666666666669</v>
      </c>
      <c r="I13" s="8">
        <f t="shared" si="0"/>
        <v>3.3121666666666667</v>
      </c>
      <c r="J13" s="8">
        <f t="shared" si="1"/>
        <v>-6.4532047222222229</v>
      </c>
      <c r="K13" s="8">
        <f t="shared" si="2"/>
        <v>0.78650708741187614</v>
      </c>
      <c r="L13" s="19" t="s">
        <v>69</v>
      </c>
      <c r="M13" s="94">
        <f>((2*(M11*PI()*(N11/10)^2/4+M12*PI()*(N12/10)^2/4))*0.785+(IF(D7&gt;60,2,1)*(ROUNDUP(100/(IF(N11=25,20,15)),0)*(2*(C7-2*3)+2*(D7-2*3)+20)/100)*((PI()*(IF(N11=25,8,6.3)/10)^2/4)*0.785)))/(C7*D7/10000)</f>
        <v>117.74629663751419</v>
      </c>
      <c r="N13" s="94"/>
      <c r="P13" s="2"/>
      <c r="Q13" s="3"/>
      <c r="R13"/>
      <c r="S13" s="4"/>
      <c r="U13"/>
      <c r="V13" s="6"/>
      <c r="W13" s="16"/>
    </row>
    <row r="14" spans="2:23" x14ac:dyDescent="0.25">
      <c r="H14" s="41">
        <f>8*$H$16/10</f>
        <v>445.33333333333337</v>
      </c>
      <c r="I14" s="8">
        <f t="shared" si="0"/>
        <v>3.7853333333333339</v>
      </c>
      <c r="J14" s="8">
        <f t="shared" si="1"/>
        <v>-8.4286755555555573</v>
      </c>
      <c r="K14" s="8">
        <f t="shared" si="2"/>
        <v>0.29450875604994836</v>
      </c>
      <c r="P14" s="2"/>
      <c r="Q14" s="3"/>
      <c r="R14"/>
      <c r="S14" s="4"/>
      <c r="U14"/>
      <c r="V14" s="6"/>
      <c r="W14" s="16"/>
    </row>
    <row r="15" spans="2:23" x14ac:dyDescent="0.25">
      <c r="D15" s="20"/>
      <c r="H15" s="41">
        <f>9*$H$16/10</f>
        <v>501.00000000000011</v>
      </c>
      <c r="I15" s="8">
        <f t="shared" si="0"/>
        <v>4.2585000000000015</v>
      </c>
      <c r="J15" s="8">
        <f t="shared" si="1"/>
        <v>-10.667542500000007</v>
      </c>
      <c r="K15" s="8">
        <f t="shared" si="2"/>
        <v>1.3690093796573485E-2</v>
      </c>
      <c r="L15" s="11" t="s">
        <v>60</v>
      </c>
      <c r="M15" s="50">
        <f>MAX(J6:J52)/G12</f>
        <v>0.88818091507953834</v>
      </c>
      <c r="N15"/>
      <c r="P15" s="2"/>
      <c r="Q15" s="3"/>
      <c r="R15"/>
      <c r="S15" s="4"/>
      <c r="U15"/>
      <c r="V15" s="6"/>
      <c r="W15" s="16"/>
    </row>
    <row r="16" spans="2:23" x14ac:dyDescent="0.25">
      <c r="H16" s="41">
        <f>$C$12</f>
        <v>556.66666666666674</v>
      </c>
      <c r="I16" s="8">
        <f>(($E$11)*(H16/100)-M17)/1000-M17</f>
        <v>-5.9039583333333328</v>
      </c>
      <c r="J16" s="8">
        <f t="shared" si="1"/>
        <v>-13.169805555555559</v>
      </c>
      <c r="K16" s="8">
        <f t="shared" si="2"/>
        <v>0</v>
      </c>
      <c r="N16"/>
      <c r="P16" s="2"/>
      <c r="Q16" s="2"/>
      <c r="R16"/>
      <c r="S16" s="92" t="s">
        <v>37</v>
      </c>
      <c r="T16" s="92"/>
      <c r="U16"/>
      <c r="V16" s="6" t="s">
        <v>38</v>
      </c>
      <c r="W16" s="16">
        <f>IF($W$6&gt;=$W$5,$Q$5,$Q$8)</f>
        <v>0.4</v>
      </c>
    </row>
    <row r="17" spans="2:23" ht="15.75" x14ac:dyDescent="0.25">
      <c r="H17" s="41">
        <f t="shared" ref="H17:H41" si="3">H16+(($C$8-$C$12-$C$12)/26)</f>
        <v>610.00000000000011</v>
      </c>
      <c r="I17" s="8">
        <f>I16+(($E$11)*((H17-H16)/100))/1000</f>
        <v>-5.4506249999999987</v>
      </c>
      <c r="J17" s="8">
        <f t="shared" ref="J17:J41" si="4">-(($E$11)/1000)*(H17/100)^2/2+($M$17)*((H17-$H$16)/100)</f>
        <v>-10.147583333333337</v>
      </c>
      <c r="K17" s="8">
        <f>1000000000*((((($E$11)/1000)*((H17-$H$16)/100)*((($C$8-$C$12-$C$12)-(H17-$H$16))/100))/($L$7*24*$G$10*$G$11))*(((H17-$H$16)/100)*((($C$8-$C$12-$C$12)/100)-((H17-$H$16)/100))+((($C$8-$C$12-$C$12)/100)^2)-(6*($C$12/100)^2)))</f>
        <v>0.27355820725734381</v>
      </c>
      <c r="L17" s="11" t="s">
        <v>61</v>
      </c>
      <c r="M17" s="51">
        <f>((((($E$11))*$C$8/100)/2)+((J16-J42)/((C8-C12-C12)/100)))/1000</f>
        <v>10.625</v>
      </c>
      <c r="N17"/>
      <c r="P17"/>
      <c r="Q17"/>
      <c r="R17"/>
      <c r="S17" s="21" t="s">
        <v>39</v>
      </c>
      <c r="T17" s="22">
        <v>50</v>
      </c>
      <c r="U17"/>
      <c r="V17" s="6" t="s">
        <v>40</v>
      </c>
      <c r="W17" s="23">
        <f>$W$9/$W$16/($Q$7-$Q$9)^2/($T$5*1000/1.4)</f>
        <v>7.101939588477367E-2</v>
      </c>
    </row>
    <row r="18" spans="2:23" ht="15.75" x14ac:dyDescent="0.25">
      <c r="H18" s="41">
        <f t="shared" si="3"/>
        <v>663.33333333333348</v>
      </c>
      <c r="I18" s="8">
        <f t="shared" ref="I18:I42" si="5">I17+(($E$11)*((H18-H17)/100))/1000</f>
        <v>-4.9972916666666656</v>
      </c>
      <c r="J18" s="8">
        <f t="shared" si="4"/>
        <v>-7.3671388888888867</v>
      </c>
      <c r="K18" s="8">
        <f t="shared" ref="K18:K42" si="6">1000000000*((((($E$11)/1000)*((H18-$H$16)/100)*((($C$8-$C$12-$C$12)-(H18-$H$16))/100))/($L$7*24*$G$10*$G$11))*(((H18-$H$16)/100)*((($C$8-$C$12-$C$12)/100)-((H18-$H$16)/100))+((($C$8-$C$12-$C$12)/100)^2)-(6*($C$12/100)^2)))</f>
        <v>0.78035175386843492</v>
      </c>
      <c r="L18" s="1" t="s">
        <v>109</v>
      </c>
      <c r="M18" s="81">
        <f>ABS(J29/J16)</f>
        <v>0.55129262433217308</v>
      </c>
      <c r="N18"/>
      <c r="P18" s="92" t="s">
        <v>41</v>
      </c>
      <c r="Q18" s="92"/>
      <c r="R18" s="92"/>
      <c r="S18" s="92"/>
      <c r="T18" s="92"/>
      <c r="U18"/>
      <c r="V18" s="6" t="s">
        <v>42</v>
      </c>
      <c r="W18" s="24">
        <f>(1-SQRT(1-2*$W$17/$T$8))/$T$7</f>
        <v>0.10921111513330792</v>
      </c>
    </row>
    <row r="19" spans="2:23" ht="18.75" x14ac:dyDescent="0.3">
      <c r="H19" s="41">
        <f t="shared" si="3"/>
        <v>716.66666666666686</v>
      </c>
      <c r="I19" s="8">
        <f t="shared" si="5"/>
        <v>-4.5439583333333324</v>
      </c>
      <c r="J19" s="8">
        <f t="shared" si="4"/>
        <v>-4.8284722222222207</v>
      </c>
      <c r="K19" s="8">
        <f t="shared" si="6"/>
        <v>1.4566006408496894</v>
      </c>
      <c r="N19"/>
      <c r="P19" s="2" t="s">
        <v>43</v>
      </c>
      <c r="Q19" s="3">
        <f>LARGE(Q25:Q26,1)*10</f>
        <v>131.69805555555558</v>
      </c>
      <c r="R19"/>
      <c r="S19" s="25" t="s">
        <v>44</v>
      </c>
      <c r="T19" s="3">
        <v>1.3</v>
      </c>
      <c r="U19"/>
      <c r="V19" s="6" t="s">
        <v>45</v>
      </c>
      <c r="W19" s="24" t="str">
        <f>IF($W$18&lt;=$T$9,"ok!","kx &gt; kx-lim - Verificar")</f>
        <v>ok!</v>
      </c>
    </row>
    <row r="20" spans="2:23" ht="18.75" x14ac:dyDescent="0.3">
      <c r="B20" s="91" t="s">
        <v>65</v>
      </c>
      <c r="C20" s="91"/>
      <c r="D20" s="91"/>
      <c r="E20" s="91"/>
      <c r="F20" s="91"/>
      <c r="G20" s="91"/>
      <c r="H20" s="41">
        <f t="shared" si="3"/>
        <v>770.00000000000023</v>
      </c>
      <c r="I20" s="8">
        <f t="shared" si="5"/>
        <v>-4.0906249999999993</v>
      </c>
      <c r="J20" s="8">
        <f t="shared" si="4"/>
        <v>-2.5315833333333302</v>
      </c>
      <c r="K20" s="8">
        <f t="shared" si="6"/>
        <v>2.2440709560856624</v>
      </c>
      <c r="N20"/>
      <c r="P20" s="2" t="s">
        <v>46</v>
      </c>
      <c r="Q20" s="3">
        <v>0</v>
      </c>
      <c r="R20"/>
      <c r="S20" s="25" t="s">
        <v>44</v>
      </c>
      <c r="T20" s="3">
        <v>0</v>
      </c>
      <c r="U20"/>
      <c r="V20" s="6" t="s">
        <v>47</v>
      </c>
      <c r="W20" s="23">
        <f>1-$T$7/2*$W$18</f>
        <v>0.95631555394667678</v>
      </c>
    </row>
    <row r="21" spans="2:23" ht="18.75" x14ac:dyDescent="0.3">
      <c r="H21" s="41">
        <f t="shared" si="3"/>
        <v>823.3333333333336</v>
      </c>
      <c r="I21" s="8">
        <f t="shared" si="5"/>
        <v>-3.6372916666666657</v>
      </c>
      <c r="J21" s="8">
        <f t="shared" si="4"/>
        <v>-0.47647222222221686</v>
      </c>
      <c r="K21" s="8">
        <f t="shared" si="6"/>
        <v>3.0900748743290438</v>
      </c>
      <c r="L21"/>
      <c r="M21"/>
      <c r="N21"/>
      <c r="P21" s="2" t="s">
        <v>48</v>
      </c>
      <c r="Q21" s="3">
        <v>0</v>
      </c>
      <c r="R21"/>
      <c r="S21" s="25" t="s">
        <v>44</v>
      </c>
      <c r="T21" s="3">
        <v>0</v>
      </c>
      <c r="U21"/>
      <c r="V21" s="6" t="s">
        <v>49</v>
      </c>
      <c r="W21" s="26">
        <f>IF(10/(1/$W$18-1)&lt;3.5,10/(1/$W$18-1),3.5)</f>
        <v>1.2260044662507383</v>
      </c>
    </row>
    <row r="22" spans="2:23" ht="18.75" x14ac:dyDescent="0.3">
      <c r="H22" s="41">
        <f t="shared" si="3"/>
        <v>876.66666666666697</v>
      </c>
      <c r="I22" s="8">
        <f t="shared" si="5"/>
        <v>-3.1839583333333321</v>
      </c>
      <c r="J22" s="8">
        <f t="shared" si="4"/>
        <v>1.3368611111111193</v>
      </c>
      <c r="K22" s="8">
        <f t="shared" si="6"/>
        <v>3.9474706572006641</v>
      </c>
      <c r="P22" s="2" t="s">
        <v>50</v>
      </c>
      <c r="Q22" s="3">
        <v>0</v>
      </c>
      <c r="R22"/>
      <c r="S22" s="25" t="s">
        <v>44</v>
      </c>
      <c r="T22" s="3">
        <v>0</v>
      </c>
      <c r="U22"/>
      <c r="V22" s="6" t="s">
        <v>51</v>
      </c>
      <c r="W22" s="26">
        <f>IF($W$21&lt;3.5,10,(1/$W$18-1)*3.5)</f>
        <v>10</v>
      </c>
    </row>
    <row r="23" spans="2:23" ht="18.75" x14ac:dyDescent="0.3">
      <c r="H23" s="41">
        <f t="shared" si="3"/>
        <v>930.00000000000034</v>
      </c>
      <c r="I23" s="8">
        <f t="shared" si="5"/>
        <v>-2.7306249999999985</v>
      </c>
      <c r="J23" s="8">
        <f t="shared" si="4"/>
        <v>2.9084166666666604</v>
      </c>
      <c r="K23" s="8">
        <f t="shared" si="6"/>
        <v>4.7746626531894893</v>
      </c>
      <c r="P23" s="2" t="s">
        <v>52</v>
      </c>
      <c r="Q23" s="3">
        <v>0</v>
      </c>
      <c r="R23"/>
      <c r="S23" s="25" t="s">
        <v>44</v>
      </c>
      <c r="T23" s="3">
        <v>0</v>
      </c>
      <c r="U23"/>
      <c r="V23" s="27" t="s">
        <v>53</v>
      </c>
      <c r="W23" s="28">
        <f>$W$8/($Q$7-$Q$9-$Q$6/2)/($T$17/1.15)+$W$9/$W$20/($Q$7-$Q$9)/($T$17/2)</f>
        <v>9.5481717802263475</v>
      </c>
    </row>
    <row r="24" spans="2:23" ht="18.75" customHeight="1" x14ac:dyDescent="0.25">
      <c r="H24" s="41">
        <f t="shared" si="3"/>
        <v>983.33333333333371</v>
      </c>
      <c r="I24" s="8">
        <f t="shared" si="5"/>
        <v>-2.2772916666666649</v>
      </c>
      <c r="J24" s="8">
        <f t="shared" si="4"/>
        <v>4.2381944444444386</v>
      </c>
      <c r="K24" s="8">
        <f t="shared" si="6"/>
        <v>5.535601297652625</v>
      </c>
      <c r="V24" s="1" t="s">
        <v>73</v>
      </c>
      <c r="W24" s="1">
        <f>(L9/100)*C7*D7</f>
        <v>8</v>
      </c>
    </row>
    <row r="25" spans="2:23" ht="18.75" customHeight="1" x14ac:dyDescent="0.25">
      <c r="H25" s="41">
        <f t="shared" si="3"/>
        <v>1036.666666666667</v>
      </c>
      <c r="I25" s="8">
        <f t="shared" si="5"/>
        <v>-1.8239583333333322</v>
      </c>
      <c r="J25" s="8">
        <f t="shared" si="4"/>
        <v>5.3261944444444538</v>
      </c>
      <c r="K25" s="8">
        <f t="shared" si="6"/>
        <v>6.1997831128153162</v>
      </c>
      <c r="P25" s="1" t="s">
        <v>74</v>
      </c>
      <c r="Q25" s="14">
        <f>MAX(J6:J52)</f>
        <v>7.2604166666666572</v>
      </c>
    </row>
    <row r="26" spans="2:23" ht="18.75" customHeight="1" x14ac:dyDescent="0.25">
      <c r="H26" s="41">
        <f t="shared" si="3"/>
        <v>1090.0000000000002</v>
      </c>
      <c r="I26" s="8">
        <f t="shared" si="5"/>
        <v>-1.3706249999999995</v>
      </c>
      <c r="J26" s="8">
        <f t="shared" si="4"/>
        <v>6.1724166666666704</v>
      </c>
      <c r="K26" s="8">
        <f t="shared" si="6"/>
        <v>6.7422507077709373</v>
      </c>
      <c r="P26" s="1" t="s">
        <v>75</v>
      </c>
      <c r="Q26" s="14">
        <f>ABS(MIN(J6:J52))</f>
        <v>13.169805555555559</v>
      </c>
    </row>
    <row r="27" spans="2:23" ht="18.75" customHeight="1" x14ac:dyDescent="0.25">
      <c r="H27" s="41">
        <f t="shared" si="3"/>
        <v>1143.3333333333335</v>
      </c>
      <c r="I27" s="8">
        <f t="shared" si="5"/>
        <v>-0.91729166666666684</v>
      </c>
      <c r="J27" s="8">
        <f t="shared" si="4"/>
        <v>6.7768611111110957</v>
      </c>
      <c r="K27" s="8">
        <f t="shared" si="6"/>
        <v>7.143592778481012</v>
      </c>
    </row>
    <row r="28" spans="2:23" ht="18.75" customHeight="1" x14ac:dyDescent="0.25">
      <c r="G28"/>
      <c r="H28" s="41">
        <f t="shared" si="3"/>
        <v>1196.6666666666667</v>
      </c>
      <c r="I28" s="8">
        <f t="shared" si="5"/>
        <v>-0.46395833333333414</v>
      </c>
      <c r="J28" s="8">
        <f t="shared" si="4"/>
        <v>7.1395277777777792</v>
      </c>
      <c r="K28" s="8">
        <f t="shared" si="6"/>
        <v>7.3899441077751957</v>
      </c>
      <c r="L28"/>
      <c r="M28"/>
      <c r="N28"/>
    </row>
    <row r="29" spans="2:23" x14ac:dyDescent="0.25">
      <c r="H29" s="41">
        <f t="shared" si="3"/>
        <v>1250</v>
      </c>
      <c r="I29" s="8">
        <f t="shared" si="5"/>
        <v>-1.0625000000001439E-2</v>
      </c>
      <c r="J29" s="8">
        <f t="shared" si="4"/>
        <v>7.2604166666666572</v>
      </c>
      <c r="K29" s="8">
        <f t="shared" si="6"/>
        <v>7.4729855653512756</v>
      </c>
    </row>
    <row r="30" spans="2:23" x14ac:dyDescent="0.25">
      <c r="H30" s="41">
        <f t="shared" si="3"/>
        <v>1303.3333333333333</v>
      </c>
      <c r="I30" s="8">
        <f t="shared" si="5"/>
        <v>0.44270833333333126</v>
      </c>
      <c r="J30" s="8">
        <f t="shared" si="4"/>
        <v>7.1395277777777579</v>
      </c>
      <c r="K30" s="8">
        <f t="shared" si="6"/>
        <v>7.3899441077751939</v>
      </c>
    </row>
    <row r="31" spans="2:23" x14ac:dyDescent="0.25">
      <c r="F31" s="19"/>
      <c r="H31" s="41">
        <f t="shared" si="3"/>
        <v>1356.6666666666665</v>
      </c>
      <c r="I31" s="8">
        <f t="shared" si="5"/>
        <v>0.89604166666666396</v>
      </c>
      <c r="J31" s="8">
        <f t="shared" si="4"/>
        <v>6.7768611111111028</v>
      </c>
      <c r="K31" s="8">
        <f t="shared" si="6"/>
        <v>7.1435927784810112</v>
      </c>
    </row>
    <row r="32" spans="2:23" x14ac:dyDescent="0.25">
      <c r="H32" s="41">
        <f t="shared" si="3"/>
        <v>1409.9999999999998</v>
      </c>
      <c r="I32" s="8">
        <f t="shared" si="5"/>
        <v>1.3493749999999967</v>
      </c>
      <c r="J32" s="8">
        <f t="shared" si="4"/>
        <v>6.1724166666666491</v>
      </c>
      <c r="K32" s="8">
        <f t="shared" si="6"/>
        <v>6.7422507077709373</v>
      </c>
    </row>
    <row r="33" spans="8:14" x14ac:dyDescent="0.25">
      <c r="H33" s="41">
        <f t="shared" si="3"/>
        <v>1463.333333333333</v>
      </c>
      <c r="I33" s="8">
        <f t="shared" si="5"/>
        <v>1.8027083333333294</v>
      </c>
      <c r="J33" s="8">
        <f t="shared" si="4"/>
        <v>5.3261944444444254</v>
      </c>
      <c r="K33" s="8">
        <f t="shared" si="6"/>
        <v>6.1997831128153162</v>
      </c>
    </row>
    <row r="34" spans="8:14" x14ac:dyDescent="0.25">
      <c r="H34" s="41">
        <f t="shared" si="3"/>
        <v>1516.6666666666663</v>
      </c>
      <c r="I34" s="8">
        <f t="shared" si="5"/>
        <v>2.2560416666666621</v>
      </c>
      <c r="J34" s="8">
        <f t="shared" si="4"/>
        <v>4.2381944444444599</v>
      </c>
      <c r="K34" s="8">
        <f t="shared" si="6"/>
        <v>5.5356012976526259</v>
      </c>
    </row>
    <row r="35" spans="8:14" x14ac:dyDescent="0.25">
      <c r="H35" s="41">
        <f t="shared" si="3"/>
        <v>1569.9999999999995</v>
      </c>
      <c r="I35" s="8">
        <f t="shared" si="5"/>
        <v>2.7093749999999948</v>
      </c>
      <c r="J35" s="8">
        <f t="shared" si="4"/>
        <v>2.9084166666666533</v>
      </c>
      <c r="K35" s="8">
        <f t="shared" si="6"/>
        <v>4.774662653189492</v>
      </c>
    </row>
    <row r="36" spans="8:14" x14ac:dyDescent="0.25">
      <c r="H36" s="41">
        <f t="shared" si="3"/>
        <v>1623.3333333333328</v>
      </c>
      <c r="I36" s="8">
        <f t="shared" si="5"/>
        <v>3.1627083333333275</v>
      </c>
      <c r="J36" s="8">
        <f t="shared" si="4"/>
        <v>1.3368611111111477</v>
      </c>
      <c r="K36" s="8">
        <f t="shared" si="6"/>
        <v>3.9474706572006668</v>
      </c>
    </row>
    <row r="37" spans="8:14" x14ac:dyDescent="0.25">
      <c r="H37" s="41">
        <f t="shared" si="3"/>
        <v>1676.6666666666661</v>
      </c>
      <c r="I37" s="8">
        <f t="shared" si="5"/>
        <v>3.6160416666666602</v>
      </c>
      <c r="J37" s="8">
        <f t="shared" si="4"/>
        <v>-0.47647222222222751</v>
      </c>
      <c r="K37" s="8">
        <f t="shared" si="6"/>
        <v>3.0900748743290487</v>
      </c>
    </row>
    <row r="38" spans="8:14" x14ac:dyDescent="0.25">
      <c r="H38" s="41">
        <f t="shared" si="3"/>
        <v>1729.9999999999993</v>
      </c>
      <c r="I38" s="8">
        <f t="shared" si="5"/>
        <v>4.0693749999999929</v>
      </c>
      <c r="J38" s="8">
        <f t="shared" si="4"/>
        <v>-2.531583333333316</v>
      </c>
      <c r="K38" s="8">
        <f t="shared" si="6"/>
        <v>2.2440709560856709</v>
      </c>
    </row>
    <row r="39" spans="8:14" x14ac:dyDescent="0.25">
      <c r="H39" s="41">
        <f t="shared" si="3"/>
        <v>1783.3333333333326</v>
      </c>
      <c r="I39" s="8">
        <f t="shared" si="5"/>
        <v>4.5227083333333251</v>
      </c>
      <c r="J39" s="8">
        <f t="shared" si="4"/>
        <v>-4.8284722222221603</v>
      </c>
      <c r="K39" s="8">
        <f t="shared" si="6"/>
        <v>1.4566006408496983</v>
      </c>
    </row>
    <row r="40" spans="8:14" x14ac:dyDescent="0.25">
      <c r="H40" s="41">
        <f t="shared" si="3"/>
        <v>1836.6666666666658</v>
      </c>
      <c r="I40" s="8">
        <f t="shared" si="5"/>
        <v>4.9760416666666583</v>
      </c>
      <c r="J40" s="8">
        <f t="shared" si="4"/>
        <v>-7.3671388888888885</v>
      </c>
      <c r="K40" s="8">
        <f t="shared" si="6"/>
        <v>0.7803517538684428</v>
      </c>
    </row>
    <row r="41" spans="8:14" x14ac:dyDescent="0.25">
      <c r="H41" s="41">
        <f t="shared" si="3"/>
        <v>1889.9999999999991</v>
      </c>
      <c r="I41" s="8">
        <f t="shared" si="5"/>
        <v>5.4293749999999914</v>
      </c>
      <c r="J41" s="8">
        <f t="shared" si="4"/>
        <v>-10.147583333333301</v>
      </c>
      <c r="K41" s="8">
        <f t="shared" si="6"/>
        <v>0.27355820725735008</v>
      </c>
    </row>
    <row r="42" spans="8:14" x14ac:dyDescent="0.25">
      <c r="H42" s="41">
        <f>$C$8-$C$12</f>
        <v>1943.3333333333333</v>
      </c>
      <c r="I42" s="8">
        <f t="shared" si="5"/>
        <v>5.8827083333333317</v>
      </c>
      <c r="J42" s="8">
        <f>-($E$11)*((($C$8-H42)/100)^2)/2/1000</f>
        <v>-13.169805555555559</v>
      </c>
      <c r="K42" s="8">
        <f t="shared" si="6"/>
        <v>0</v>
      </c>
    </row>
    <row r="43" spans="8:14" x14ac:dyDescent="0.25">
      <c r="H43" s="41">
        <f t="shared" ref="H43:H51" si="7">H42+($H$52-$H$42)/10</f>
        <v>1999</v>
      </c>
      <c r="I43" s="8">
        <f>I42+(($E$11)*((H43-H42)/100))/1000-M17</f>
        <v>-4.2691250000000007</v>
      </c>
      <c r="J43" s="8">
        <f t="shared" ref="J43:J52" si="8">-($E$11)*((($C$8-H43)/100)^2)/2/1000</f>
        <v>-10.6675425</v>
      </c>
      <c r="K43" s="8">
        <f>1000000000*(((($E$11)/1000)*((H43-$H$42)/100))/($L$7*24*$G$10*$G$11))*((6*(($C$12/100)^2)*((($C$8-($C$12+$C$12)+(H43-$H$42))/100))-((((H43-$H$42)/100)^2)*((4*($C$12/100))-((H43-$H$42)/100)))-((($C$8-($C$12+$C$12))/100)^3)))</f>
        <v>1.3690093796574234E-2</v>
      </c>
    </row>
    <row r="44" spans="8:14" x14ac:dyDescent="0.25">
      <c r="H44" s="41">
        <f t="shared" si="7"/>
        <v>2054.6666666666665</v>
      </c>
      <c r="I44" s="8">
        <f t="shared" ref="I44:I52" si="9">I43+(($E$11)*((H44-H43)/100))/1000-M26</f>
        <v>-3.7959583333333353</v>
      </c>
      <c r="J44" s="8">
        <f t="shared" si="8"/>
        <v>-8.4286755555555608</v>
      </c>
      <c r="K44" s="8">
        <f t="shared" ref="K44:K52" si="10">1000000000*(((($E$11)/1000)*((H44-$H$42)/100))/($L$7*24*$G$10*$G$11))*((6*(($C$12/100)^2)*((($C$8-($C$12+$C$12)+(H44-$H$42))/100))-((((H44-$H$42)/100)^2)*((4*($C$12/100))-((H44-$H$42)/100)))-((($C$8-($C$12+$C$12))/100)^3)))</f>
        <v>0.2945087560499452</v>
      </c>
    </row>
    <row r="45" spans="8:14" x14ac:dyDescent="0.25">
      <c r="H45" s="41">
        <f t="shared" si="7"/>
        <v>2110.333333333333</v>
      </c>
      <c r="I45" s="8">
        <f t="shared" si="9"/>
        <v>-3.3227916666666699</v>
      </c>
      <c r="J45" s="8">
        <f t="shared" si="8"/>
        <v>-6.4532047222222317</v>
      </c>
      <c r="K45" s="8">
        <f t="shared" si="10"/>
        <v>0.78650708741187692</v>
      </c>
    </row>
    <row r="46" spans="8:14" x14ac:dyDescent="0.25">
      <c r="H46" s="41">
        <f t="shared" si="7"/>
        <v>2165.9999999999995</v>
      </c>
      <c r="I46" s="8">
        <f t="shared" si="9"/>
        <v>-2.8496250000000045</v>
      </c>
      <c r="J46" s="8">
        <f t="shared" si="8"/>
        <v>-4.7411300000000134</v>
      </c>
      <c r="K46" s="8">
        <f t="shared" si="10"/>
        <v>1.4403184119868502</v>
      </c>
    </row>
    <row r="47" spans="8:14" x14ac:dyDescent="0.25">
      <c r="H47" s="41">
        <f t="shared" si="7"/>
        <v>2221.6666666666661</v>
      </c>
      <c r="I47" s="8">
        <f t="shared" si="9"/>
        <v>-2.3764583333333391</v>
      </c>
      <c r="J47" s="8">
        <f t="shared" si="8"/>
        <v>-3.2924513888889031</v>
      </c>
      <c r="K47" s="8">
        <f t="shared" si="10"/>
        <v>2.2131582773321075</v>
      </c>
      <c r="N47" s="29"/>
    </row>
    <row r="48" spans="8:14" x14ac:dyDescent="0.25">
      <c r="H48" s="41">
        <f t="shared" si="7"/>
        <v>2277.3333333333326</v>
      </c>
      <c r="I48" s="8">
        <f t="shared" si="9"/>
        <v>-1.9032916666666737</v>
      </c>
      <c r="J48" s="8">
        <f t="shared" si="8"/>
        <v>-2.1071688888889031</v>
      </c>
      <c r="K48" s="8">
        <f t="shared" si="10"/>
        <v>3.0688244544576104</v>
      </c>
      <c r="N48" s="29"/>
    </row>
    <row r="49" spans="8:23" x14ac:dyDescent="0.25">
      <c r="H49" s="41">
        <f t="shared" si="7"/>
        <v>2332.9999999999991</v>
      </c>
      <c r="I49" s="8">
        <f t="shared" si="9"/>
        <v>-1.4301250000000083</v>
      </c>
      <c r="J49" s="8">
        <f t="shared" si="8"/>
        <v>-1.1852825000000127</v>
      </c>
      <c r="K49" s="8">
        <f t="shared" si="10"/>
        <v>3.9776969378260354</v>
      </c>
      <c r="N49" s="29"/>
    </row>
    <row r="50" spans="8:23" x14ac:dyDescent="0.25">
      <c r="H50" s="41">
        <f t="shared" si="7"/>
        <v>2388.6666666666656</v>
      </c>
      <c r="I50" s="8">
        <f t="shared" si="9"/>
        <v>-0.9569583333333429</v>
      </c>
      <c r="J50" s="8">
        <f t="shared" si="8"/>
        <v>-0.52679222222223221</v>
      </c>
      <c r="K50" s="8">
        <f t="shared" si="10"/>
        <v>4.9167379453528381</v>
      </c>
      <c r="N50" s="29"/>
    </row>
    <row r="51" spans="8:23" x14ac:dyDescent="0.25">
      <c r="H51" s="41">
        <f t="shared" si="7"/>
        <v>2444.3333333333321</v>
      </c>
      <c r="I51" s="8">
        <f t="shared" si="9"/>
        <v>-0.48379166666667744</v>
      </c>
      <c r="J51" s="8">
        <f t="shared" si="8"/>
        <v>-0.13169805555556127</v>
      </c>
      <c r="K51" s="8">
        <f t="shared" si="10"/>
        <v>5.8694919184061591</v>
      </c>
      <c r="N51" s="29"/>
    </row>
    <row r="52" spans="8:23" x14ac:dyDescent="0.25">
      <c r="H52" s="41">
        <f>$C$8</f>
        <v>2500</v>
      </c>
      <c r="I52" s="8">
        <f t="shared" si="9"/>
        <v>-1.0625000000000551E-2</v>
      </c>
      <c r="J52" s="8">
        <f t="shared" si="8"/>
        <v>0</v>
      </c>
      <c r="K52" s="8">
        <f t="shared" si="10"/>
        <v>6.8260855218069372</v>
      </c>
      <c r="N52" s="29"/>
    </row>
    <row r="53" spans="8:23" hidden="1" x14ac:dyDescent="0.25">
      <c r="N53" s="29"/>
    </row>
    <row r="54" spans="8:23" hidden="1" x14ac:dyDescent="0.25">
      <c r="N54" s="29"/>
    </row>
    <row r="55" spans="8:23" hidden="1" x14ac:dyDescent="0.25">
      <c r="N55" s="29"/>
    </row>
    <row r="56" spans="8:23" hidden="1" x14ac:dyDescent="0.25">
      <c r="N56" s="29"/>
    </row>
    <row r="57" spans="8:23" hidden="1" x14ac:dyDescent="0.25">
      <c r="N57" s="29"/>
    </row>
    <row r="58" spans="8:23" hidden="1" x14ac:dyDescent="0.25">
      <c r="N58" s="29"/>
    </row>
    <row r="63" spans="8:23" hidden="1" x14ac:dyDescent="0.25">
      <c r="N63"/>
      <c r="P63"/>
      <c r="Q63"/>
      <c r="R63"/>
      <c r="S63"/>
      <c r="T63"/>
      <c r="U63"/>
      <c r="V63"/>
      <c r="W63"/>
    </row>
    <row r="86" spans="2:12" hidden="1" x14ac:dyDescent="0.25">
      <c r="B86"/>
      <c r="C86"/>
      <c r="D86"/>
      <c r="E86"/>
      <c r="F86"/>
      <c r="G86"/>
      <c r="H86"/>
      <c r="I86"/>
      <c r="J86"/>
      <c r="K86"/>
      <c r="L86"/>
    </row>
    <row r="87" spans="2:12" hidden="1" x14ac:dyDescent="0.25">
      <c r="B87"/>
      <c r="C87"/>
      <c r="D87"/>
      <c r="E87"/>
      <c r="F87"/>
      <c r="G87"/>
      <c r="H87"/>
      <c r="I87"/>
      <c r="J87"/>
      <c r="K87"/>
      <c r="L87"/>
    </row>
    <row r="88" spans="2:12" hidden="1" x14ac:dyDescent="0.25">
      <c r="B88"/>
      <c r="C88"/>
      <c r="D88"/>
      <c r="E88"/>
      <c r="F88"/>
      <c r="G88"/>
      <c r="H88"/>
      <c r="I88"/>
      <c r="J88"/>
      <c r="K88"/>
      <c r="L88"/>
    </row>
    <row r="89" spans="2:12" hidden="1" x14ac:dyDescent="0.25">
      <c r="B89"/>
      <c r="C89"/>
      <c r="D89"/>
      <c r="E89"/>
      <c r="F89"/>
      <c r="G89"/>
      <c r="H89"/>
      <c r="I89"/>
      <c r="J89"/>
      <c r="K89"/>
      <c r="L89"/>
    </row>
    <row r="90" spans="2:12" hidden="1" x14ac:dyDescent="0.25">
      <c r="B90"/>
      <c r="C90"/>
      <c r="D90"/>
      <c r="E90"/>
      <c r="F90"/>
      <c r="G90"/>
      <c r="H90"/>
      <c r="I90"/>
      <c r="J90"/>
      <c r="K90"/>
      <c r="L90"/>
    </row>
    <row r="91" spans="2:12" hidden="1" x14ac:dyDescent="0.25">
      <c r="B91"/>
      <c r="C91"/>
      <c r="D91"/>
      <c r="E91"/>
      <c r="F91"/>
      <c r="G91"/>
      <c r="H91"/>
      <c r="I91"/>
      <c r="J91"/>
      <c r="K91"/>
      <c r="L91"/>
    </row>
    <row r="92" spans="2:12" hidden="1" x14ac:dyDescent="0.25">
      <c r="B92"/>
      <c r="C92"/>
      <c r="D92"/>
      <c r="E92"/>
      <c r="F92"/>
      <c r="G92"/>
      <c r="H92"/>
      <c r="I92"/>
      <c r="J92"/>
      <c r="K92"/>
      <c r="L92"/>
    </row>
    <row r="93" spans="2:12" hidden="1" x14ac:dyDescent="0.25">
      <c r="B93"/>
      <c r="C93"/>
      <c r="D93"/>
      <c r="E93"/>
      <c r="F93"/>
      <c r="G93"/>
      <c r="H93"/>
      <c r="I93"/>
      <c r="J93"/>
      <c r="K93"/>
      <c r="L93"/>
    </row>
    <row r="94" spans="2:12" hidden="1" x14ac:dyDescent="0.25">
      <c r="B94"/>
      <c r="C94"/>
      <c r="D94"/>
      <c r="E94"/>
      <c r="F94"/>
      <c r="G94"/>
      <c r="H94"/>
      <c r="I94"/>
      <c r="J94"/>
      <c r="K94"/>
      <c r="L94"/>
    </row>
    <row r="95" spans="2:12" hidden="1" x14ac:dyDescent="0.25">
      <c r="B95"/>
      <c r="C95"/>
      <c r="D95"/>
      <c r="E95"/>
      <c r="F95"/>
      <c r="G95"/>
      <c r="H95"/>
      <c r="I95"/>
      <c r="J95"/>
      <c r="K95"/>
      <c r="L95"/>
    </row>
    <row r="96" spans="2:12" hidden="1" x14ac:dyDescent="0.25">
      <c r="B96"/>
      <c r="C96"/>
      <c r="D96"/>
      <c r="E96"/>
      <c r="F96"/>
      <c r="G96"/>
      <c r="H96"/>
      <c r="I96"/>
      <c r="J96"/>
      <c r="K96"/>
      <c r="L96"/>
    </row>
    <row r="97" spans="2:12" hidden="1" x14ac:dyDescent="0.25">
      <c r="B97"/>
      <c r="C97"/>
      <c r="D97"/>
      <c r="E97"/>
      <c r="F97"/>
      <c r="G97"/>
      <c r="H97"/>
      <c r="I97"/>
      <c r="J97"/>
      <c r="K97"/>
      <c r="L97"/>
    </row>
    <row r="98" spans="2:12" hidden="1" x14ac:dyDescent="0.25">
      <c r="B98"/>
      <c r="C98"/>
      <c r="D98"/>
      <c r="E98"/>
      <c r="F98"/>
      <c r="G98"/>
      <c r="H98"/>
      <c r="I98"/>
      <c r="J98"/>
      <c r="K98"/>
      <c r="L98"/>
    </row>
    <row r="99" spans="2:12" hidden="1" x14ac:dyDescent="0.25">
      <c r="B99"/>
      <c r="C99"/>
      <c r="D99"/>
      <c r="E99"/>
      <c r="F99"/>
      <c r="G99"/>
      <c r="H99"/>
      <c r="I99"/>
      <c r="J99"/>
      <c r="K99"/>
      <c r="L99"/>
    </row>
    <row r="100" spans="2:12" hidden="1" x14ac:dyDescent="0.25">
      <c r="B100"/>
      <c r="C100"/>
      <c r="D100"/>
      <c r="E100"/>
      <c r="F100"/>
      <c r="G100"/>
      <c r="H100"/>
      <c r="I100"/>
      <c r="J100"/>
      <c r="K100"/>
      <c r="L100"/>
    </row>
    <row r="101" spans="2:12" hidden="1" x14ac:dyDescent="0.25">
      <c r="B101"/>
      <c r="C101"/>
      <c r="D101"/>
      <c r="E101"/>
      <c r="F101"/>
      <c r="G101"/>
      <c r="H101"/>
      <c r="I101"/>
      <c r="J101"/>
      <c r="K101"/>
      <c r="L101"/>
    </row>
    <row r="102" spans="2:12" hidden="1" x14ac:dyDescent="0.25">
      <c r="B102"/>
      <c r="C102"/>
      <c r="D102"/>
      <c r="E102"/>
      <c r="F102"/>
      <c r="G102"/>
      <c r="H102"/>
      <c r="I102"/>
      <c r="J102"/>
      <c r="K102"/>
      <c r="L102"/>
    </row>
    <row r="103" spans="2:12" hidden="1" x14ac:dyDescent="0.25">
      <c r="B103"/>
      <c r="C103"/>
      <c r="D103"/>
      <c r="E103"/>
      <c r="F103"/>
      <c r="G103"/>
      <c r="H103"/>
      <c r="I103"/>
      <c r="J103"/>
      <c r="K103"/>
      <c r="L103"/>
    </row>
    <row r="104" spans="2:12" hidden="1" x14ac:dyDescent="0.25">
      <c r="B104"/>
      <c r="C104"/>
      <c r="D104"/>
      <c r="E104"/>
      <c r="F104"/>
      <c r="G104"/>
      <c r="H104"/>
      <c r="I104"/>
      <c r="J104"/>
      <c r="K104"/>
      <c r="L104"/>
    </row>
    <row r="105" spans="2:12" hidden="1" x14ac:dyDescent="0.25">
      <c r="B105"/>
      <c r="C105"/>
      <c r="D105"/>
      <c r="E105"/>
      <c r="F105"/>
      <c r="G105"/>
      <c r="H105"/>
      <c r="I105"/>
      <c r="J105"/>
      <c r="K105"/>
      <c r="L105"/>
    </row>
    <row r="106" spans="2:12" hidden="1" x14ac:dyDescent="0.25">
      <c r="B106"/>
      <c r="C106"/>
      <c r="D106"/>
      <c r="E106"/>
      <c r="F106"/>
      <c r="G106"/>
      <c r="H106"/>
      <c r="I106"/>
      <c r="J106"/>
      <c r="K106"/>
      <c r="L106"/>
    </row>
    <row r="107" spans="2:12" hidden="1" x14ac:dyDescent="0.25">
      <c r="B107"/>
      <c r="C107"/>
      <c r="D107"/>
      <c r="E107"/>
      <c r="F107"/>
      <c r="G107"/>
      <c r="H107"/>
      <c r="I107"/>
      <c r="J107"/>
      <c r="K107"/>
      <c r="L107"/>
    </row>
    <row r="108" spans="2:12" hidden="1" x14ac:dyDescent="0.25">
      <c r="B108"/>
      <c r="C108"/>
      <c r="D108"/>
      <c r="E108"/>
      <c r="F108"/>
      <c r="G108"/>
      <c r="H108"/>
      <c r="I108"/>
      <c r="J108"/>
      <c r="K108"/>
      <c r="L108"/>
    </row>
    <row r="109" spans="2:12" hidden="1" x14ac:dyDescent="0.25">
      <c r="B109"/>
      <c r="C109"/>
      <c r="D109"/>
      <c r="E109"/>
      <c r="F109"/>
      <c r="G109"/>
      <c r="H109"/>
      <c r="I109"/>
      <c r="J109"/>
      <c r="K109"/>
      <c r="L109"/>
    </row>
    <row r="110" spans="2:12" hidden="1" x14ac:dyDescent="0.25">
      <c r="B110"/>
      <c r="C110"/>
      <c r="D110"/>
      <c r="E110"/>
      <c r="F110"/>
      <c r="G110"/>
      <c r="H110"/>
      <c r="I110"/>
      <c r="J110"/>
      <c r="K110"/>
      <c r="L110"/>
    </row>
    <row r="111" spans="2:12" hidden="1" x14ac:dyDescent="0.25">
      <c r="B111"/>
      <c r="C111"/>
      <c r="D111"/>
      <c r="E111"/>
      <c r="F111"/>
      <c r="G111"/>
      <c r="H111"/>
      <c r="I111"/>
      <c r="J111"/>
      <c r="K111"/>
      <c r="L111"/>
    </row>
    <row r="112" spans="2:12" hidden="1" x14ac:dyDescent="0.25">
      <c r="B112"/>
      <c r="C112"/>
      <c r="D112"/>
      <c r="E112"/>
      <c r="F112"/>
      <c r="G112"/>
      <c r="H112"/>
      <c r="I112"/>
      <c r="J112"/>
      <c r="K112"/>
      <c r="L112"/>
    </row>
    <row r="113" spans="2:12" hidden="1" x14ac:dyDescent="0.25">
      <c r="B113"/>
      <c r="C113"/>
      <c r="D113"/>
      <c r="E113"/>
      <c r="F113"/>
      <c r="G113"/>
      <c r="H113"/>
      <c r="I113"/>
      <c r="J113"/>
      <c r="K113"/>
      <c r="L113"/>
    </row>
    <row r="114" spans="2:12" hidden="1" x14ac:dyDescent="0.25">
      <c r="B114"/>
      <c r="C114"/>
      <c r="D114"/>
      <c r="E114"/>
      <c r="F114"/>
      <c r="G114"/>
      <c r="H114"/>
      <c r="I114"/>
      <c r="J114"/>
      <c r="K114"/>
      <c r="L114"/>
    </row>
    <row r="115" spans="2:12" hidden="1" x14ac:dyDescent="0.25">
      <c r="B115"/>
      <c r="C115"/>
      <c r="D115"/>
      <c r="E115"/>
      <c r="F115"/>
      <c r="G115"/>
      <c r="H115"/>
      <c r="I115"/>
      <c r="J115"/>
      <c r="K115"/>
      <c r="L115"/>
    </row>
    <row r="116" spans="2:12" hidden="1" x14ac:dyDescent="0.25">
      <c r="B116"/>
      <c r="C116"/>
      <c r="D116"/>
      <c r="E116"/>
      <c r="F116"/>
      <c r="G116"/>
      <c r="H116"/>
      <c r="I116"/>
      <c r="J116"/>
      <c r="K116"/>
      <c r="L116"/>
    </row>
    <row r="117" spans="2:12" hidden="1" x14ac:dyDescent="0.25">
      <c r="B117"/>
      <c r="C117"/>
      <c r="D117"/>
      <c r="E117"/>
      <c r="F117"/>
      <c r="G117"/>
      <c r="H117"/>
      <c r="I117"/>
      <c r="J117"/>
      <c r="K117"/>
      <c r="L117"/>
    </row>
    <row r="118" spans="2:12" hidden="1" x14ac:dyDescent="0.25">
      <c r="B118"/>
      <c r="C118"/>
      <c r="D118"/>
      <c r="E118"/>
      <c r="F118"/>
      <c r="G118"/>
      <c r="H118"/>
      <c r="I118"/>
      <c r="J118"/>
      <c r="K118"/>
      <c r="L118"/>
    </row>
    <row r="119" spans="2:12" hidden="1" x14ac:dyDescent="0.25">
      <c r="B119"/>
      <c r="C119"/>
      <c r="D119"/>
      <c r="E119"/>
      <c r="F119"/>
      <c r="G119"/>
      <c r="H119"/>
      <c r="I119"/>
      <c r="J119"/>
      <c r="K119"/>
      <c r="L119"/>
    </row>
    <row r="120" spans="2:12" hidden="1" x14ac:dyDescent="0.25">
      <c r="B120"/>
      <c r="C120"/>
      <c r="D120"/>
      <c r="E120"/>
      <c r="F120"/>
      <c r="G120"/>
      <c r="H120"/>
      <c r="I120"/>
      <c r="J120"/>
      <c r="K120"/>
      <c r="L120"/>
    </row>
    <row r="121" spans="2:12" hidden="1" x14ac:dyDescent="0.25">
      <c r="B121"/>
      <c r="C121"/>
      <c r="D121"/>
      <c r="E121"/>
      <c r="F121"/>
      <c r="G121"/>
      <c r="H121"/>
      <c r="I121"/>
      <c r="J121"/>
      <c r="K121"/>
      <c r="L121"/>
    </row>
    <row r="122" spans="2:12" hidden="1" x14ac:dyDescent="0.25">
      <c r="B122"/>
      <c r="C122"/>
      <c r="D122"/>
      <c r="E122"/>
      <c r="F122"/>
      <c r="G122"/>
      <c r="H122"/>
      <c r="I122"/>
      <c r="J122"/>
      <c r="K122"/>
      <c r="L122"/>
    </row>
    <row r="123" spans="2:12" hidden="1" x14ac:dyDescent="0.25">
      <c r="B123"/>
      <c r="C123"/>
      <c r="D123"/>
      <c r="E123"/>
      <c r="F123"/>
      <c r="G123"/>
      <c r="H123"/>
      <c r="I123"/>
      <c r="J123"/>
      <c r="K123"/>
      <c r="L123"/>
    </row>
    <row r="124" spans="2:12" hidden="1" x14ac:dyDescent="0.25">
      <c r="B124"/>
      <c r="C124"/>
      <c r="D124"/>
      <c r="E124"/>
      <c r="F124"/>
      <c r="G124"/>
      <c r="H124"/>
      <c r="I124"/>
      <c r="J124"/>
      <c r="K124"/>
      <c r="L124"/>
    </row>
  </sheetData>
  <sheetProtection algorithmName="SHA-512" hashValue="sZxgrmm4LF2yd8xvaQSz0u0QKpY++0Mr3FpGP8uywCCcU/kmonXBxl4CtU6FJUiCwseB/Jv1pukYfJBUUMtbow==" saltValue="LCuBYeCKmFaWQmteZVD86w==" spinCount="100000" sheet="1" objects="1" scenarios="1" selectLockedCells="1"/>
  <mergeCells count="11">
    <mergeCell ref="V4:W4"/>
    <mergeCell ref="C5:F5"/>
    <mergeCell ref="L5:N5"/>
    <mergeCell ref="B20:G20"/>
    <mergeCell ref="B4:G4"/>
    <mergeCell ref="H4:N4"/>
    <mergeCell ref="P4:Q4"/>
    <mergeCell ref="S4:T4"/>
    <mergeCell ref="M13:N13"/>
    <mergeCell ref="S16:T16"/>
    <mergeCell ref="P18:T18"/>
  </mergeCells>
  <conditionalFormatting sqref="C12">
    <cfRule type="cellIs" dxfId="5" priority="5" operator="greaterThan">
      <formula>500</formula>
    </cfRule>
  </conditionalFormatting>
  <conditionalFormatting sqref="C11">
    <cfRule type="cellIs" dxfId="4" priority="4" operator="greaterThan">
      <formula>500</formula>
    </cfRule>
  </conditionalFormatting>
  <conditionalFormatting sqref="N7">
    <cfRule type="cellIs" dxfId="3" priority="2" operator="lessThan">
      <formula>$M$7</formula>
    </cfRule>
    <cfRule type="cellIs" dxfId="2" priority="3" operator="greaterThan">
      <formula>$M$7</formula>
    </cfRule>
  </conditionalFormatting>
  <conditionalFormatting sqref="J6:J52">
    <cfRule type="dataBar" priority="1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{95BBE67B-2404-4783-A5E0-EABD947FF9B2}</x14:id>
        </ext>
      </extLst>
    </cfRule>
  </conditionalFormatting>
  <conditionalFormatting sqref="N9">
    <cfRule type="cellIs" dxfId="1" priority="6" operator="lessThan">
      <formula>$M$9</formula>
    </cfRule>
    <cfRule type="cellIs" dxfId="0" priority="7" operator="greaterThan">
      <formula>$M$9</formula>
    </cfRule>
  </conditionalFormatting>
  <dataValidations count="5">
    <dataValidation allowBlank="1" sqref="C10" xr:uid="{6965F5B2-5D16-43DB-81D0-F1A495C943DF}"/>
    <dataValidation type="list" allowBlank="1" showInputMessage="1" showErrorMessage="1" sqref="G8" xr:uid="{9BFD97EB-7D46-4E74-B831-21BF8F2760F1}">
      <formula1>"Basalto e Diabásio,Granito e Gnaisse,Calcário,Arenito"</formula1>
    </dataValidation>
    <dataValidation allowBlank="1" showInputMessage="1" showErrorMessage="1" prompt="menor seção transversal do pilar_x000a_" sqref="C7" xr:uid="{AA36771D-5F44-402E-B44A-EBD46C5BBBE6}"/>
    <dataValidation allowBlank="1" showInputMessage="1" showErrorMessage="1" prompt="Inserir Fck,j referente a data de verificação" sqref="G7" xr:uid="{41B475CF-3CCC-48E2-8CCC-BBB54067EDBF}"/>
    <dataValidation allowBlank="1" showInputMessage="1" showErrorMessage="1" prompt="Carga adicional de consoles.Pode ser utilizado também para diminuir o peso do pilar._x000a_" sqref="E10" xr:uid="{A762775F-1A74-4A8C-937A-6AD6F5C669D2}"/>
  </dataValidations>
  <printOptions horizontalCentered="1" verticalCentered="1"/>
  <pageMargins left="0.25" right="0.25" top="0.75" bottom="0.75" header="0.3" footer="0.3"/>
  <pageSetup paperSize="9" scale="97" fitToWidth="0" fitToHeight="0" orientation="portrait" r:id="rId1"/>
  <rowBreaks count="1" manualBreakCount="1">
    <brk id="106" min="1" max="13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BBE67B-2404-4783-A5E0-EABD947FF9B2}">
            <x14:dataBar minLength="0" maxLength="100" gradient="0">
              <x14:cfvo type="autoMin"/>
              <x14:cfvo type="autoMax"/>
              <x14:negativeFillColor rgb="FFFF7C80"/>
              <x14:axisColor theme="0"/>
            </x14:dataBar>
          </x14:cfRule>
          <xm:sqref>J6:J52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Início</vt:lpstr>
      <vt:lpstr>1 ponto</vt:lpstr>
      <vt:lpstr>2 pontos</vt:lpstr>
      <vt:lpstr>'1 ponto'!Area_de_impressao</vt:lpstr>
      <vt:lpstr>'2 pontos'!Area_de_impressao</vt:lpstr>
      <vt:lpstr>Início!Area_de_impressao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Guilherme Luiz Nardelli</cp:lastModifiedBy>
  <cp:lastPrinted>2021-06-25T17:16:19Z</cp:lastPrinted>
  <dcterms:created xsi:type="dcterms:W3CDTF">2021-06-10T13:51:02Z</dcterms:created>
  <dcterms:modified xsi:type="dcterms:W3CDTF">2024-03-15T14:23:07Z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2023-02-09T19:52:23Z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a796cfe6-0fef-412d-bb4d-50d43602c5de</vt:lpwstr>
  </property>
  <property fmtid="{D5CDD505-2E9C-101B-9397-08002B2CF9AE}" pid="7" name="MSIP_Label_defa4170-0d19-0005-0004-bc88714345d2_ActionId">
    <vt:lpwstr>cf95d61c-3ce4-4615-a79c-ecd0e88ad9fe</vt:lpwstr>
  </property>
  <property fmtid="{D5CDD505-2E9C-101B-9397-08002B2CF9AE}" pid="8" name="MSIP_Label_defa4170-0d19-0005-0004-bc88714345d2_ContentBits">
    <vt:lpwstr>0</vt:lpwstr>
  </property>
</Properties>
</file>